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8bb478872446baa4/Jakob/Jakob 2026/Hochschule 2026/ProjektManagment/"/>
    </mc:Choice>
  </mc:AlternateContent>
  <xr:revisionPtr revIDLastSave="0" documentId="8_{85E029A5-2363-4165-99AE-922CBE3144E8}" xr6:coauthVersionLast="47" xr6:coauthVersionMax="47" xr10:uidLastSave="{00000000-0000-0000-0000-000000000000}"/>
  <bookViews>
    <workbookView xWindow="38280" yWindow="-120" windowWidth="29040" windowHeight="15720" activeTab="1" xr2:uid="{00000000-000D-0000-FFFF-FFFF00000000}"/>
  </bookViews>
  <sheets>
    <sheet name="Beschreibung" sheetId="1" r:id="rId1"/>
    <sheet name="Risikoregister" sheetId="2" r:id="rId2"/>
    <sheet name="Tabelle1" sheetId="3" r:id="rId3"/>
    <sheet name="Bewertungsmatrix"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4" i="2" l="1"/>
  <c r="J24" i="2"/>
  <c r="P23" i="2"/>
  <c r="J23" i="2"/>
  <c r="P22" i="2"/>
  <c r="J22" i="2"/>
  <c r="P21" i="2"/>
  <c r="J21" i="2"/>
  <c r="P20" i="2"/>
  <c r="J20" i="2"/>
  <c r="P19" i="2"/>
  <c r="J19" i="2"/>
  <c r="P18" i="2"/>
  <c r="J18" i="2"/>
  <c r="P17" i="2"/>
  <c r="J17" i="2"/>
  <c r="P16" i="2"/>
  <c r="J16" i="2"/>
  <c r="P15" i="2"/>
  <c r="J15" i="2"/>
  <c r="P14" i="2"/>
  <c r="J14" i="2"/>
  <c r="P13" i="2"/>
  <c r="J13" i="2"/>
  <c r="P12" i="2"/>
  <c r="J12" i="2"/>
  <c r="P11" i="2"/>
  <c r="J11" i="2"/>
  <c r="P10" i="2"/>
  <c r="J10" i="2"/>
  <c r="P9" i="2"/>
  <c r="J9" i="2"/>
  <c r="P8" i="2"/>
  <c r="J8" i="2"/>
  <c r="P7" i="2"/>
  <c r="J7" i="2"/>
  <c r="P6" i="2"/>
  <c r="J6" i="2"/>
  <c r="P5" i="2"/>
  <c r="J5" i="2"/>
  <c r="P19" i="1"/>
  <c r="J19" i="1"/>
  <c r="P18" i="1"/>
  <c r="J18" i="1"/>
  <c r="P17" i="1"/>
  <c r="J17" i="1"/>
  <c r="P16" i="1"/>
  <c r="J16" i="1"/>
  <c r="P15" i="1"/>
  <c r="J15" i="1"/>
</calcChain>
</file>

<file path=xl/sharedStrings.xml><?xml version="1.0" encoding="utf-8"?>
<sst xmlns="http://schemas.openxmlformats.org/spreadsheetml/2006/main" count="331" uniqueCount="127">
  <si>
    <t>Erstellen Sie für Ihr Beispielprojekt ein Risikoregister</t>
  </si>
  <si>
    <t>Identifizieren Sie</t>
  </si>
  <si>
    <t>- ein Risiko je Risiko-Art (Organisatorisch, Technisch, Kundenbezogen, Extern)</t>
  </si>
  <si>
    <t>- ein Risiko mit zwei unterschiedlichen Ursachen (= 2 Zeilen im Risikoregister)</t>
  </si>
  <si>
    <t>- ein Risiko mit derselben Ursache, aber verschiedenen Maßnahmen  (= 2 Zeilen im Risikoregister)</t>
  </si>
  <si>
    <t>- ein Risiko mit derselben Ursache, aber je einer vorbeugenden und einer reaktiven Maßnahme  (= 2 Zeilen im Risikoregister)</t>
  </si>
  <si>
    <t>- ein Risiko mit derselben Ursache und zwei unterschiedlich teuren Maßnahmen (entweder beide vorbeugend oder beide reaktiv)  (= 2 Zeilen im Risikoregister)</t>
  </si>
  <si>
    <t>Ausfüllbeispiel</t>
  </si>
  <si>
    <t>Nr.</t>
  </si>
  <si>
    <t>Status</t>
  </si>
  <si>
    <t>Risiko</t>
  </si>
  <si>
    <t>Bewertung ohne Maßnahme</t>
  </si>
  <si>
    <t>Maßnahme</t>
  </si>
  <si>
    <t>Bewertung mit Maßnahme</t>
  </si>
  <si>
    <t>Überwachung</t>
  </si>
  <si>
    <t>Ereignis</t>
  </si>
  <si>
    <t>Art des Risikos</t>
  </si>
  <si>
    <t>Ursache</t>
  </si>
  <si>
    <t>Auswirkung</t>
  </si>
  <si>
    <t>Eintritts-Wahrsch'keit</t>
  </si>
  <si>
    <t>Erwartungs-wert</t>
  </si>
  <si>
    <t>Beschreibung der Maßnahme</t>
  </si>
  <si>
    <t>Wirkungsbereich</t>
  </si>
  <si>
    <t>Kosten</t>
  </si>
  <si>
    <t>Eingetreten</t>
  </si>
  <si>
    <t>Sitze im Büro ohne Lesebrille</t>
  </si>
  <si>
    <t>Organisatorisch</t>
  </si>
  <si>
    <t>Brille zu Hause vergessen</t>
  </si>
  <si>
    <t>Nicht arbeitsfähig</t>
  </si>
  <si>
    <t>Mittel</t>
  </si>
  <si>
    <t>Kritisch</t>
  </si>
  <si>
    <t>Spiegel innen an die Wohnungstür hängen</t>
  </si>
  <si>
    <t>Vorbeugend</t>
  </si>
  <si>
    <t>Hoch</t>
  </si>
  <si>
    <t>Brillenbesitzerin</t>
  </si>
  <si>
    <t>Ersatzbrille im Büro deponieren</t>
  </si>
  <si>
    <t>Soforthilfe (reaktiv)</t>
  </si>
  <si>
    <t>Niedrig</t>
  </si>
  <si>
    <t>Gering</t>
  </si>
  <si>
    <t>Monitoring</t>
  </si>
  <si>
    <t>Brille auf dem Weg kaputtgegangen</t>
  </si>
  <si>
    <t>Stabilere Brille kaufen</t>
  </si>
  <si>
    <t>Sehr hoch</t>
  </si>
  <si>
    <t>Nach Hause gehen und die Brille holen</t>
  </si>
  <si>
    <t>Gewöhnlich</t>
  </si>
  <si>
    <t>Schnell eine billige Lesebrille kaufen</t>
  </si>
  <si>
    <t>Was kann passieren?</t>
  </si>
  <si>
    <t>Welcher Bereich ist betroffen?</t>
  </si>
  <si>
    <t>Was verursacht das Risiko?</t>
  </si>
  <si>
    <t>Was sind die unmittelbaren Auswirkungen?</t>
  </si>
  <si>
    <t>W</t>
  </si>
  <si>
    <t xml:space="preserve">A </t>
  </si>
  <si>
    <t>= A x W</t>
  </si>
  <si>
    <t>Wie genau sieht die Maßnahme aus?</t>
  </si>
  <si>
    <t>Senkt die Eintritts-wahrscheinlichkeit oder Sofortmaßnahme bei Eintritt?</t>
  </si>
  <si>
    <t>Wie teuer ist das Ergreifen der Maßnahmen?</t>
  </si>
  <si>
    <t>Wer überwacht das Risiko? (Rolle)</t>
  </si>
  <si>
    <t>Risko 1</t>
  </si>
  <si>
    <t>Risko 2</t>
  </si>
  <si>
    <t>Technisch</t>
  </si>
  <si>
    <t>Risko 3</t>
  </si>
  <si>
    <t>Kundenseitig</t>
  </si>
  <si>
    <t>Risko 4</t>
  </si>
  <si>
    <t>Extern</t>
  </si>
  <si>
    <t>Risko 5</t>
  </si>
  <si>
    <t>Bewertung</t>
  </si>
  <si>
    <t>Prio</t>
  </si>
  <si>
    <t>Beschreibung</t>
  </si>
  <si>
    <t>Normale Risiken haben Auswirkungen, die das Projekt aus eigener Kraft kompensieren Kann. Gegenmaßnahmen (falls erforderlich) sind bereits umgesetzt und für das Restrisiko sind ausreichende Zeit und Geldreserven allokiert. Die Auswirkungen auf die Projektziele sind gering.</t>
  </si>
  <si>
    <t>Hohe Risiken haben erhebliche Auswirkungen auf die Projektziele. Obwohl die Projektdurchführung weiterhin möglich ist, braucht das Projekt beim Eintritt dieses Risikos Hilfe von außen.</t>
  </si>
  <si>
    <t>Kritische Risiken verhindern faktisch den Projekterfolg. Weder das Projekt noch die Sponsoren können die Auswirkungen kompensieren und ein Abbruch des Projekts ist sehr wahrscheinlich.</t>
  </si>
  <si>
    <t>Eintrittswahrscheinlichkeit</t>
  </si>
  <si>
    <t>seltenes Auftreten</t>
  </si>
  <si>
    <t>gelegentliches Auftreten</t>
  </si>
  <si>
    <t>häufiges Auftreten</t>
  </si>
  <si>
    <t>Zeitplanverzug vor Prototyp/Abgabe</t>
  </si>
  <si>
    <t>Umfang der funktionalen Anforderungen ist zu unklar oder wächst nachträglich</t>
  </si>
  <si>
    <t>Prototyp wird nicht rechtzeitig fertig, Anforderungen bleiben offen</t>
  </si>
  <si>
    <t>Soforthilfe: Muss-/Kann-Anforderungen sofort trennen, Kann-Funktionen in Backlog verschieben und nur den MVP für Prototyp/Abgabe fertigstellen</t>
  </si>
  <si>
    <t>Projektleitung</t>
  </si>
  <si>
    <t>Entwicklungsaufwand wird unterschätzt, besonders bei Backend/Frontend-Integration</t>
  </si>
  <si>
    <t>Meilenstein 3 und Präsentation geraten unter Zeitdruck</t>
  </si>
  <si>
    <t>Soforthilfe: kritische Tickets gemeinsam bearbeiten, Integration priorisieren und unfertige Nebenfunktionen für die Demo deaktivieren</t>
  </si>
  <si>
    <t>Krankheit, Prüfungen oder Ausfall einzelner Teammitglieder</t>
  </si>
  <si>
    <t>Aufgaben bleiben liegen, Wissen ist nur bei einer Person vorhanden</t>
  </si>
  <si>
    <t>Soforthilfe: Aufgaben der ausgefallenen Person direkt neu verteilen, offene Tickets verkleinern und Wissen über kurze Übergabe sichern</t>
  </si>
  <si>
    <t>Unberechtigter Zugriff auf geschützte Funktionen</t>
  </si>
  <si>
    <t>Rollen- und Rechteprüfung wird in API-Endpunkten vergessen oder falsch umgesetzt</t>
  </si>
  <si>
    <t>Nutzer könnten Admin-/Verwaltungsfunktionen ausführen; Datenschutz- und Vertrauensschaden</t>
  </si>
  <si>
    <t>Vorbeugend: RBAC-Konzept, Rechteprüfung im Backend, Code-Review und Tests nach BSI-Prinzip Rechte/Rollen</t>
  </si>
  <si>
    <t>Backend-Verantwortlicher</t>
  </si>
  <si>
    <t>Soforthilfe: betroffene Admin-Endpunkte vorübergehend sperren, Rollenrechte zurücksetzen, Logs prüfen und fehlerhafte Freigaben rückgängig machen</t>
  </si>
  <si>
    <t>Datenverlust im Repository oder bei Projektdateien</t>
  </si>
  <si>
    <t>Fehlerhafte Commits, versehentliches Löschen oder fehlende Sicherung wichtiger Dateien</t>
  </si>
  <si>
    <t>Arbeitsstand geht verloren, Nacharbeit nötig, Abgabe verzögert sich</t>
  </si>
  <si>
    <t>Soforthilfe: letzten stabilen Stand aus Git-History wiederherstellen, fehlerhaften Commit revertieren und verlorene Dateien aus Branch/Backup zurückholen</t>
  </si>
  <si>
    <t>Alle Entwickler</t>
  </si>
  <si>
    <t>Datenschutzproblem durch falsche Speicherung von Nutzerdaten</t>
  </si>
  <si>
    <t>Zu viele personenbezogene Daten werden gespeichert oder Logs enthalten sensible Informationen</t>
  </si>
  <si>
    <t>Nachbesserung nötig, mögliche Datenschutzverstöße und Vertrauensverlust</t>
  </si>
  <si>
    <t>Soforthilfe: betroffene Logs/Daten sofort löschen, Zugriff einschränken, Datenschutzverantwortliche informieren und Nutzerinformation vorbereiten</t>
  </si>
  <si>
    <t>Backend/Projektleitung</t>
  </si>
  <si>
    <t>Frontend und Backend passen nicht zusammen</t>
  </si>
  <si>
    <t>API-Schnittstellen sind nicht eindeutig dokumentiert oder ändern sich ohne Abstimmung</t>
  </si>
  <si>
    <t>Funktionen funktionieren in der Demo nicht, Integration kostet zusätzliche Zeit</t>
  </si>
  <si>
    <t>Soforthilfe: gemeinsamen Integrationstermin ansetzen, Schnittstellenfehler als Bugfix-Liste sammeln und DTOs kurzfristig angleichen</t>
  </si>
  <si>
    <t>Frontend- und Backend-Team</t>
  </si>
  <si>
    <t>Deployment oder Vorführung funktioniert nicht</t>
  </si>
  <si>
    <t>Unterschiede zwischen Entwicklungsumgebung und Vorführumgebung, fehlende Umgebungsvariablen</t>
  </si>
  <si>
    <t>Projekt kann in der Präsentation nicht zuverlässig gezeigt werden</t>
  </si>
  <si>
    <t>Soforthilfe: lokale Demo, Screenshots oder kurzes Video nutzen, falls Deployment ausfällt; parallele Fehlerbehebung nur für kritische Demo-Funktionen</t>
  </si>
  <si>
    <t>DevOps/Projektleitung</t>
  </si>
  <si>
    <t>Nutzer akzeptieren die Lösung nicht</t>
  </si>
  <si>
    <t>Kundenbezogen</t>
  </si>
  <si>
    <t>Oberfläche oder Gruppenfunktion ist für Studierende/Verwaltung nicht verständlich genug</t>
  </si>
  <si>
    <t>Feature wird trotz technischer Umsetzung kaum genutzt oder schlecht bewertet</t>
  </si>
  <si>
    <t>Soforthilfe: unklare UI-Stellen kurzfristig vereinfachen, Hilfetexte ergänzen und in der Präsentation den vorgesehenen Nutzerfluss erklären</t>
  </si>
  <si>
    <t>Product Owner/UX</t>
  </si>
  <si>
    <t>Externe Dienste oder Hochschulsysteme sind nicht verfügbar</t>
  </si>
  <si>
    <t>Abhängigkeit von externen Systemen wie Moodle, Mail oder Hochschul-Login</t>
  </si>
  <si>
    <t>Bestimmte Funktionen sind zeitweise nicht nutzbar</t>
  </si>
  <si>
    <t>Soforthilfe: klare Fehlermeldung anzeigen, Funktion temporär deaktivieren und manuelle Alternative bzw. erneuten Versuch anbieten</t>
  </si>
  <si>
    <t>Github Copilot Abrechnung wird viel schlechter</t>
  </si>
  <si>
    <t xml:space="preserve">Github Copilot verändert das bezahlmodel so schlecht dass es ohne viel Geld schwer wird z u entwickeln </t>
  </si>
  <si>
    <t xml:space="preserve">sehr viel unproduktivere Entwicklung </t>
  </si>
  <si>
    <t>Kritsch</t>
  </si>
  <si>
    <t>Soforthilfe : Umsteigen auf Codex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</si>
</sst>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ont>
    <font>
      <b/>
      <sz val="11"/>
      <color indexed="8"/>
      <name val="Calibri"/>
    </font>
    <font>
      <sz val="9"/>
      <color indexed="8"/>
      <name val="Calibri"/>
    </font>
    <font>
      <sz val="11"/>
      <color theme="1"/>
      <name val="Calibri"/>
    </font>
    <font>
      <sz val="11"/>
      <color theme="0"/>
      <name val="Calibri"/>
    </font>
    <font>
      <sz val="11"/>
      <color theme="6" tint="-0.24994659260841701"/>
      <name val="Calibri"/>
    </font>
    <font>
      <sz val="11"/>
      <color theme="9" tint="-0.49995422223578601"/>
      <name val="Calibri"/>
    </font>
    <font>
      <sz val="11"/>
      <color theme="0" tint="-0.34998626667073579"/>
      <name val="Calibri"/>
    </font>
    <font>
      <b/>
      <sz val="8"/>
      <color indexed="8"/>
      <name val="Calibri"/>
    </font>
    <font>
      <sz val="16"/>
      <color theme="1"/>
      <name val="Calibri"/>
    </font>
    <font>
      <b/>
      <sz val="16"/>
      <color theme="1"/>
      <name val="Calibri"/>
    </font>
    <font>
      <b/>
      <sz val="16"/>
      <color indexed="8"/>
      <name val="Calibri"/>
    </font>
    <font>
      <b/>
      <sz val="16"/>
      <color theme="1"/>
      <name val="Calibri"/>
    </font>
  </fonts>
  <fills count="10">
    <fill>
      <patternFill patternType="none"/>
    </fill>
    <fill>
      <patternFill patternType="gray125"/>
    </fill>
    <fill>
      <patternFill patternType="solid">
        <fgColor indexed="44"/>
      </patternFill>
    </fill>
    <fill>
      <patternFill patternType="solid">
        <fgColor theme="4" tint="0.59996337778862885"/>
        <bgColor indexed="65"/>
      </patternFill>
    </fill>
    <fill>
      <patternFill patternType="solid">
        <fgColor theme="6" tint="0.59993285927915285"/>
        <bgColor indexed="65"/>
      </patternFill>
    </fill>
    <fill>
      <patternFill patternType="solid">
        <fgColor rgb="FFFFCC66"/>
      </patternFill>
    </fill>
    <fill>
      <patternFill patternType="solid">
        <fgColor rgb="FFFF0000"/>
      </patternFill>
    </fill>
    <fill>
      <patternFill patternType="solid">
        <fgColor theme="0" tint="-0.14999847407452621"/>
        <bgColor indexed="65"/>
      </patternFill>
    </fill>
    <fill>
      <patternFill patternType="solid">
        <fgColor theme="0" tint="-4.9989318521683403E-2"/>
        <bgColor indexed="65"/>
      </patternFill>
    </fill>
    <fill>
      <patternFill patternType="solid">
        <fgColor theme="5"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right/>
      <top style="medium">
        <color indexed="64"/>
      </top>
      <bottom style="medium">
        <color indexed="64"/>
      </bottom>
      <diagonal/>
    </border>
    <border>
      <left style="medium">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s>
  <cellStyleXfs count="2">
    <xf numFmtId="0" fontId="0" fillId="0" borderId="0"/>
    <xf numFmtId="0" fontId="3" fillId="3" borderId="0" applyNumberFormat="0" applyBorder="0" applyAlignment="0" applyProtection="0"/>
  </cellStyleXfs>
  <cellXfs count="89">
    <xf numFmtId="0" fontId="0" fillId="0" borderId="0" xfId="0"/>
    <xf numFmtId="0" fontId="0" fillId="0" borderId="1" xfId="0" applyBorder="1" applyAlignment="1">
      <alignment vertical="top" wrapText="1"/>
    </xf>
    <xf numFmtId="0" fontId="1" fillId="3" borderId="2" xfId="1" applyFont="1" applyBorder="1" applyAlignment="1">
      <alignment horizontal="center" wrapText="1"/>
    </xf>
    <xf numFmtId="0" fontId="0" fillId="0" borderId="1" xfId="0"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center" wrapText="1"/>
    </xf>
    <xf numFmtId="0" fontId="1" fillId="2" borderId="1" xfId="1" applyFont="1" applyFill="1" applyBorder="1" applyAlignment="1">
      <alignment horizontal="center" wrapText="1"/>
    </xf>
    <xf numFmtId="0" fontId="1" fillId="2" borderId="5" xfId="1" applyFont="1" applyFill="1" applyBorder="1" applyAlignment="1">
      <alignment horizontal="center" wrapText="1"/>
    </xf>
    <xf numFmtId="0" fontId="1" fillId="2" borderId="2" xfId="1" applyFont="1" applyFill="1" applyBorder="1" applyAlignment="1">
      <alignment wrapText="1"/>
    </xf>
    <xf numFmtId="0" fontId="5"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7" fillId="0" borderId="6" xfId="0" applyFont="1" applyBorder="1" applyAlignment="1">
      <alignment horizontal="center" vertical="center"/>
    </xf>
    <xf numFmtId="0" fontId="7" fillId="0" borderId="9" xfId="0" applyFont="1" applyBorder="1" applyAlignment="1">
      <alignment horizontal="center" vertical="center"/>
    </xf>
    <xf numFmtId="0" fontId="7" fillId="0" borderId="11" xfId="0" applyFont="1" applyBorder="1" applyAlignment="1">
      <alignment horizontal="center" vertical="center"/>
    </xf>
    <xf numFmtId="0" fontId="2" fillId="0" borderId="0" xfId="0" applyFont="1" applyAlignment="1">
      <alignment vertical="center"/>
    </xf>
    <xf numFmtId="0" fontId="0" fillId="0" borderId="9" xfId="0" applyBorder="1" applyAlignment="1">
      <alignment vertical="center"/>
    </xf>
    <xf numFmtId="0" fontId="0" fillId="0" borderId="10" xfId="0" applyBorder="1" applyAlignment="1">
      <alignment horizontal="center" vertical="center"/>
    </xf>
    <xf numFmtId="0" fontId="0" fillId="0" borderId="28" xfId="0" applyBorder="1" applyAlignment="1">
      <alignment vertical="center"/>
    </xf>
    <xf numFmtId="0" fontId="0" fillId="0" borderId="11" xfId="0" applyBorder="1" applyAlignment="1">
      <alignment vertical="center"/>
    </xf>
    <xf numFmtId="0" fontId="0" fillId="0" borderId="12" xfId="0" applyBorder="1" applyAlignment="1">
      <alignment vertical="center" wrapText="1"/>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30" xfId="0" applyBorder="1" applyAlignment="1">
      <alignment vertical="center"/>
    </xf>
    <xf numFmtId="0" fontId="0" fillId="0" borderId="25" xfId="0" applyBorder="1" applyAlignment="1">
      <alignment horizontal="center" vertical="center"/>
    </xf>
    <xf numFmtId="0" fontId="9" fillId="0" borderId="0" xfId="0" applyFont="1" applyAlignment="1">
      <alignment vertical="center"/>
    </xf>
    <xf numFmtId="0" fontId="7" fillId="0" borderId="7" xfId="0" applyFont="1" applyBorder="1" applyAlignment="1">
      <alignment vertical="center"/>
    </xf>
    <xf numFmtId="0" fontId="7" fillId="0" borderId="7" xfId="0" applyFont="1" applyBorder="1" applyAlignment="1">
      <alignment vertical="center" wrapText="1"/>
    </xf>
    <xf numFmtId="0" fontId="7" fillId="0" borderId="7" xfId="0" applyFont="1" applyBorder="1" applyAlignment="1">
      <alignment horizontal="center" vertical="center"/>
    </xf>
    <xf numFmtId="0" fontId="7" fillId="0" borderId="21" xfId="0" applyFont="1" applyBorder="1" applyAlignment="1">
      <alignment horizontal="center" vertical="center"/>
    </xf>
    <xf numFmtId="0" fontId="7" fillId="0" borderId="8" xfId="0" applyFont="1" applyBorder="1" applyAlignment="1">
      <alignment horizontal="center" vertical="center"/>
    </xf>
    <xf numFmtId="0" fontId="7" fillId="0" borderId="1" xfId="0" applyFont="1" applyBorder="1" applyAlignment="1">
      <alignment vertical="center"/>
    </xf>
    <xf numFmtId="0" fontId="7" fillId="0" borderId="1" xfId="0" applyFont="1" applyBorder="1" applyAlignment="1">
      <alignment vertical="center" wrapText="1"/>
    </xf>
    <xf numFmtId="0" fontId="7" fillId="0" borderId="1" xfId="0" applyFont="1" applyBorder="1" applyAlignment="1">
      <alignment horizontal="center" vertical="center"/>
    </xf>
    <xf numFmtId="0" fontId="7" fillId="0" borderId="3"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vertical="center"/>
    </xf>
    <xf numFmtId="0" fontId="7" fillId="0" borderId="12" xfId="0" applyFont="1" applyBorder="1" applyAlignment="1">
      <alignment vertical="center" wrapText="1"/>
    </xf>
    <xf numFmtId="0" fontId="7" fillId="0" borderId="12" xfId="0" applyFont="1" applyBorder="1" applyAlignment="1">
      <alignment horizontal="center" vertical="center"/>
    </xf>
    <xf numFmtId="0" fontId="7" fillId="0" borderId="19" xfId="0" applyFont="1" applyBorder="1" applyAlignment="1">
      <alignment horizontal="center" vertical="center"/>
    </xf>
    <xf numFmtId="0" fontId="7" fillId="0" borderId="13" xfId="0" applyFont="1" applyBorder="1" applyAlignment="1">
      <alignment horizontal="center" vertical="center"/>
    </xf>
    <xf numFmtId="0" fontId="10" fillId="0" borderId="0" xfId="0" applyFont="1" applyAlignment="1">
      <alignment vertical="center"/>
    </xf>
    <xf numFmtId="0" fontId="0" fillId="0" borderId="9" xfId="0" applyBorder="1" applyAlignment="1">
      <alignment vertical="center" wrapText="1"/>
    </xf>
    <xf numFmtId="0" fontId="0" fillId="0" borderId="11" xfId="0" applyBorder="1" applyAlignment="1">
      <alignment vertical="center" wrapText="1"/>
    </xf>
    <xf numFmtId="0" fontId="0" fillId="0" borderId="29" xfId="0" applyBorder="1" applyAlignment="1">
      <alignment horizontal="center" vertical="center"/>
    </xf>
    <xf numFmtId="0" fontId="12" fillId="0" borderId="0" xfId="0" applyFont="1" applyAlignment="1">
      <alignment vertical="center"/>
    </xf>
    <xf numFmtId="0" fontId="2" fillId="7" borderId="25" xfId="1" applyFont="1" applyFill="1" applyBorder="1" applyAlignment="1">
      <alignment vertical="center"/>
    </xf>
    <xf numFmtId="0" fontId="2" fillId="7" borderId="9" xfId="1" applyFont="1" applyFill="1" applyBorder="1" applyAlignment="1">
      <alignment vertical="center"/>
    </xf>
    <xf numFmtId="0" fontId="1" fillId="8" borderId="1" xfId="1" applyFont="1" applyFill="1" applyBorder="1" applyAlignment="1">
      <alignment horizontal="center" vertical="center" wrapText="1"/>
    </xf>
    <xf numFmtId="0" fontId="8" fillId="8" borderId="5" xfId="1" applyFont="1" applyFill="1" applyBorder="1" applyAlignment="1">
      <alignment horizontal="center" vertical="center" wrapText="1"/>
    </xf>
    <xf numFmtId="0" fontId="8" fillId="8" borderId="2" xfId="1" applyFont="1" applyFill="1" applyBorder="1" applyAlignment="1">
      <alignment vertical="center" wrapText="1"/>
    </xf>
    <xf numFmtId="0" fontId="8" fillId="8" borderId="24" xfId="1" applyFont="1" applyFill="1" applyBorder="1" applyAlignment="1">
      <alignment horizontal="center" vertical="center" wrapText="1"/>
    </xf>
    <xf numFmtId="0" fontId="2" fillId="8" borderId="1" xfId="1" applyFont="1" applyFill="1" applyBorder="1" applyAlignment="1">
      <alignment vertical="center" wrapText="1"/>
    </xf>
    <xf numFmtId="0" fontId="2" fillId="8" borderId="1" xfId="1" applyFont="1" applyFill="1" applyBorder="1" applyAlignment="1">
      <alignment horizontal="center" vertical="center"/>
    </xf>
    <xf numFmtId="0" fontId="2" fillId="8" borderId="10" xfId="1" applyFont="1" applyFill="1" applyBorder="1" applyAlignment="1">
      <alignment horizontal="center" vertical="center"/>
    </xf>
    <xf numFmtId="0" fontId="1" fillId="8" borderId="9" xfId="1" applyFont="1" applyFill="1" applyBorder="1" applyAlignment="1">
      <alignment horizontal="center" vertical="center" wrapText="1"/>
    </xf>
    <xf numFmtId="0" fontId="1" fillId="8" borderId="15" xfId="1" applyFont="1" applyFill="1" applyBorder="1" applyAlignment="1">
      <alignment horizontal="center" vertical="center" wrapText="1"/>
    </xf>
    <xf numFmtId="0" fontId="8" fillId="8" borderId="15" xfId="1" applyFont="1" applyFill="1" applyBorder="1" applyAlignment="1">
      <alignment horizontal="center" vertical="center" wrapText="1"/>
    </xf>
    <xf numFmtId="0" fontId="8" fillId="8" borderId="15" xfId="1" applyFont="1" applyFill="1" applyBorder="1" applyAlignment="1">
      <alignment vertical="center" wrapText="1"/>
    </xf>
    <xf numFmtId="0" fontId="8" fillId="8" borderId="16" xfId="1" applyFont="1" applyFill="1" applyBorder="1" applyAlignment="1">
      <alignment horizontal="center" vertical="center" wrapText="1"/>
    </xf>
    <xf numFmtId="0" fontId="2" fillId="8" borderId="9" xfId="1" applyFont="1" applyFill="1" applyBorder="1" applyAlignment="1">
      <alignment vertical="center" wrapText="1"/>
    </xf>
    <xf numFmtId="0" fontId="2" fillId="8" borderId="28" xfId="1" applyFont="1" applyFill="1" applyBorder="1" applyAlignment="1">
      <alignment vertical="center" wrapText="1"/>
    </xf>
    <xf numFmtId="0" fontId="7" fillId="0" borderId="21" xfId="0" applyFont="1" applyBorder="1" applyAlignment="1">
      <alignment vertical="center" wrapText="1"/>
    </xf>
    <xf numFmtId="0" fontId="7" fillId="0" borderId="3" xfId="0" applyFont="1" applyBorder="1" applyAlignment="1">
      <alignment vertical="center" wrapText="1"/>
    </xf>
    <xf numFmtId="0" fontId="7" fillId="0" borderId="19" xfId="0" applyFont="1" applyBorder="1" applyAlignment="1">
      <alignment vertical="center" wrapText="1"/>
    </xf>
    <xf numFmtId="0" fontId="7" fillId="0" borderId="23" xfId="0" applyFont="1" applyBorder="1" applyAlignment="1">
      <alignment vertical="center" wrapText="1"/>
    </xf>
    <xf numFmtId="0" fontId="7" fillId="0" borderId="4" xfId="0" applyFont="1" applyBorder="1" applyAlignment="1">
      <alignment vertical="center" wrapText="1"/>
    </xf>
    <xf numFmtId="0" fontId="7" fillId="0" borderId="20" xfId="0" applyFont="1" applyBorder="1" applyAlignment="1">
      <alignment vertical="center" wrapText="1"/>
    </xf>
    <xf numFmtId="0" fontId="7" fillId="0" borderId="32" xfId="0" applyFont="1" applyBorder="1" applyAlignment="1">
      <alignment vertical="center" wrapText="1"/>
    </xf>
    <xf numFmtId="0" fontId="7" fillId="0" borderId="28" xfId="0" applyFont="1" applyBorder="1" applyAlignment="1">
      <alignment vertical="center" wrapText="1"/>
    </xf>
    <xf numFmtId="0" fontId="7" fillId="0" borderId="30" xfId="0" applyFont="1" applyBorder="1" applyAlignment="1">
      <alignment vertical="center" wrapText="1"/>
    </xf>
    <xf numFmtId="0" fontId="1" fillId="7" borderId="33" xfId="1" applyFont="1" applyFill="1" applyBorder="1" applyAlignment="1">
      <alignment horizontal="center" vertical="center" wrapText="1"/>
    </xf>
    <xf numFmtId="0" fontId="1" fillId="7" borderId="34" xfId="1" applyFont="1" applyFill="1" applyBorder="1" applyAlignment="1">
      <alignment horizontal="center" vertical="center" wrapText="1"/>
    </xf>
    <xf numFmtId="0" fontId="1" fillId="7" borderId="14" xfId="1" applyFont="1" applyFill="1" applyBorder="1" applyAlignment="1">
      <alignment horizontal="center" vertical="center"/>
    </xf>
    <xf numFmtId="0" fontId="1" fillId="7" borderId="27" xfId="1" applyFont="1" applyFill="1" applyBorder="1" applyAlignment="1">
      <alignment horizontal="center" vertical="center"/>
    </xf>
    <xf numFmtId="0" fontId="1" fillId="7" borderId="17" xfId="1" applyFont="1" applyFill="1" applyBorder="1" applyAlignment="1">
      <alignment horizontal="center" vertical="center"/>
    </xf>
    <xf numFmtId="0" fontId="1" fillId="7" borderId="18" xfId="1" applyFont="1" applyFill="1" applyBorder="1" applyAlignment="1">
      <alignment horizontal="center" vertical="center"/>
    </xf>
    <xf numFmtId="0" fontId="11" fillId="7" borderId="21" xfId="1" applyFont="1" applyFill="1" applyBorder="1" applyAlignment="1">
      <alignment horizontal="center" vertical="center" wrapText="1"/>
    </xf>
    <xf numFmtId="0" fontId="11" fillId="7" borderId="22" xfId="1" applyFont="1" applyFill="1" applyBorder="1" applyAlignment="1">
      <alignment horizontal="center" vertical="center" wrapText="1"/>
    </xf>
    <xf numFmtId="0" fontId="11" fillId="7" borderId="23" xfId="1" applyFont="1" applyFill="1" applyBorder="1" applyAlignment="1">
      <alignment horizontal="center" vertical="center" wrapText="1"/>
    </xf>
    <xf numFmtId="0" fontId="1" fillId="7" borderId="21" xfId="1" applyFont="1" applyFill="1" applyBorder="1" applyAlignment="1">
      <alignment horizontal="center" vertical="center" wrapText="1"/>
    </xf>
    <xf numFmtId="0" fontId="1" fillId="7" borderId="22" xfId="1" applyFont="1" applyFill="1" applyBorder="1" applyAlignment="1">
      <alignment horizontal="center" vertical="center" wrapText="1"/>
    </xf>
    <xf numFmtId="0" fontId="1" fillId="7" borderId="32" xfId="1" applyFont="1" applyFill="1" applyBorder="1" applyAlignment="1">
      <alignment horizontal="center" vertical="center" wrapText="1"/>
    </xf>
    <xf numFmtId="0" fontId="11" fillId="7" borderId="31" xfId="1" applyFont="1" applyFill="1" applyBorder="1" applyAlignment="1">
      <alignment horizontal="center" vertical="center" wrapText="1"/>
    </xf>
    <xf numFmtId="0" fontId="11" fillId="7" borderId="26" xfId="1" applyFont="1" applyFill="1" applyBorder="1" applyAlignment="1">
      <alignment horizontal="center" vertical="center" wrapText="1"/>
    </xf>
    <xf numFmtId="0" fontId="0" fillId="9" borderId="1" xfId="0" applyFill="1" applyBorder="1" applyAlignment="1">
      <alignment horizontal="center" vertical="center"/>
    </xf>
  </cellXfs>
  <cellStyles count="2">
    <cellStyle name="40 % - Akzent1" xfId="1" xr:uid="{00000000-0005-0000-0000-000000000000}"/>
    <cellStyle name="Standard" xfId="0" builtinId="0"/>
  </cellStyles>
  <dxfs count="105">
    <dxf>
      <font>
        <color theme="6" tint="-0.49995422223578601"/>
      </font>
      <fill>
        <patternFill>
          <bgColor theme="6" tint="0.59993285927915285"/>
        </patternFill>
      </fill>
    </dxf>
    <dxf>
      <font>
        <color theme="6" tint="-0.49995422223578601"/>
      </font>
      <fill>
        <patternFill>
          <bgColor theme="6" tint="0.59993285927915285"/>
        </patternFill>
      </fill>
    </dxf>
    <dxf>
      <font>
        <color theme="9" tint="-0.49995422223578601"/>
      </font>
      <fill>
        <patternFill>
          <bgColor rgb="FFFFFF99"/>
        </patternFill>
      </fill>
    </dxf>
    <dxf>
      <font>
        <color rgb="FFFF0000"/>
      </font>
      <fill>
        <patternFill>
          <bgColor theme="5" tint="0.59993285927915285"/>
        </patternFill>
      </fill>
    </dxf>
    <dxf>
      <font>
        <color rgb="FF9C6500"/>
      </font>
      <fill>
        <patternFill>
          <bgColor rgb="FFFFEB9C"/>
        </patternFill>
      </fill>
    </dxf>
    <dxf>
      <font>
        <color rgb="FFFF0000"/>
      </font>
      <fill>
        <patternFill>
          <bgColor rgb="FFFFC7CE"/>
        </patternFill>
      </fill>
    </dxf>
    <dxf>
      <font>
        <color rgb="FF9C6500"/>
      </font>
      <fill>
        <patternFill>
          <bgColor rgb="FFFFEB9C"/>
        </patternFill>
      </fill>
    </dxf>
    <dxf>
      <font>
        <color rgb="FFFF0000"/>
      </font>
      <fill>
        <patternFill>
          <bgColor rgb="FFFFC7CE"/>
        </patternFill>
      </fill>
    </dxf>
    <dxf>
      <font>
        <color theme="6" tint="-0.49995422223578601"/>
      </font>
      <fill>
        <patternFill>
          <bgColor theme="6" tint="0.59993285927915285"/>
        </patternFill>
      </fill>
    </dxf>
    <dxf>
      <font>
        <color theme="9" tint="-0.49995422223578601"/>
      </font>
      <fill>
        <patternFill>
          <bgColor rgb="FFFFFF99"/>
        </patternFill>
      </fill>
    </dxf>
    <dxf>
      <font>
        <color rgb="FFFF0000"/>
      </font>
      <fill>
        <patternFill>
          <bgColor theme="5" tint="0.59993285927915285"/>
        </patternFill>
      </fill>
    </dxf>
    <dxf>
      <font>
        <color theme="6" tint="-0.49995422223578601"/>
      </font>
      <fill>
        <patternFill>
          <bgColor theme="6" tint="0.59993285927915285"/>
        </patternFill>
      </fill>
    </dxf>
    <dxf>
      <font>
        <color theme="9" tint="-0.49995422223578601"/>
      </font>
      <fill>
        <patternFill>
          <bgColor rgb="FFFFFF99"/>
        </patternFill>
      </fill>
    </dxf>
    <dxf>
      <font>
        <color rgb="FFFF0000"/>
      </font>
      <fill>
        <patternFill>
          <bgColor theme="5" tint="0.59993285927915285"/>
        </patternFill>
      </fill>
    </dxf>
    <dxf>
      <font>
        <color rgb="FF9C6500"/>
      </font>
      <fill>
        <patternFill>
          <bgColor rgb="FFFFEB9C"/>
        </patternFill>
      </fill>
    </dxf>
    <dxf>
      <font>
        <color rgb="FFFF0000"/>
      </font>
      <fill>
        <patternFill>
          <bgColor rgb="FFFFC7CE"/>
        </patternFill>
      </fill>
    </dxf>
    <dxf>
      <font>
        <color theme="9" tint="-0.49995422223578601"/>
      </font>
      <fill>
        <patternFill>
          <bgColor rgb="FFFFFF99"/>
        </patternFill>
      </fill>
    </dxf>
    <dxf>
      <font>
        <color theme="6" tint="-0.49995422223578601"/>
      </font>
      <fill>
        <patternFill>
          <bgColor theme="6" tint="0.59993285927915285"/>
        </patternFill>
      </fill>
    </dxf>
    <dxf>
      <font>
        <color theme="6" tint="-0.49995422223578601"/>
      </font>
      <fill>
        <patternFill>
          <bgColor theme="6" tint="0.59993285927915285"/>
        </patternFill>
      </fill>
    </dxf>
    <dxf>
      <font>
        <color theme="6" tint="-0.49995422223578601"/>
      </font>
      <fill>
        <patternFill>
          <bgColor theme="6" tint="0.59993285927915285"/>
        </patternFill>
      </fill>
    </dxf>
    <dxf>
      <font>
        <color rgb="FFFF0000"/>
      </font>
      <fill>
        <patternFill>
          <bgColor theme="5" tint="0.59993285927915285"/>
        </patternFill>
      </fill>
    </dxf>
    <dxf>
      <font>
        <color rgb="FFFF0000"/>
      </font>
      <fill>
        <patternFill>
          <bgColor rgb="FFFFC7CE"/>
        </patternFill>
      </fill>
    </dxf>
    <dxf>
      <font>
        <color rgb="FF9C6500"/>
      </font>
      <fill>
        <patternFill>
          <bgColor rgb="FFFFEB9C"/>
        </patternFill>
      </fill>
    </dxf>
    <dxf>
      <font>
        <color theme="9" tint="-0.49995422223578601"/>
      </font>
      <fill>
        <patternFill>
          <bgColor rgb="FFFFFF99"/>
        </patternFill>
      </fill>
    </dxf>
    <dxf>
      <font>
        <color rgb="FFFF0000"/>
      </font>
      <fill>
        <patternFill>
          <bgColor theme="5" tint="0.59993285927915285"/>
        </patternFill>
      </fill>
    </dxf>
    <dxf>
      <font>
        <color theme="6" tint="-0.49995422223578601"/>
      </font>
      <fill>
        <patternFill>
          <bgColor theme="6" tint="0.59993285927915285"/>
        </patternFill>
      </fill>
    </dxf>
    <dxf>
      <font>
        <color theme="6" tint="-0.49995422223578601"/>
      </font>
      <fill>
        <patternFill>
          <bgColor theme="6" tint="0.59993285927915285"/>
        </patternFill>
      </fill>
    </dxf>
    <dxf>
      <font>
        <color theme="6" tint="-0.49995422223578601"/>
      </font>
      <fill>
        <patternFill>
          <bgColor theme="6" tint="0.59993285927915285"/>
        </patternFill>
      </fill>
    </dxf>
    <dxf>
      <font>
        <color rgb="FFFF0000"/>
      </font>
      <fill>
        <patternFill>
          <bgColor rgb="FFFFC7CE"/>
        </patternFill>
      </fill>
    </dxf>
    <dxf>
      <font>
        <color rgb="FF9C6500"/>
      </font>
      <fill>
        <patternFill>
          <bgColor rgb="FFFFEB9C"/>
        </patternFill>
      </fill>
    </dxf>
    <dxf>
      <font>
        <color rgb="FFFF0000"/>
      </font>
      <fill>
        <patternFill>
          <bgColor rgb="FFFFC7CE"/>
        </patternFill>
      </fill>
    </dxf>
    <dxf>
      <font>
        <color theme="6" tint="-0.49995422223578601"/>
      </font>
      <fill>
        <patternFill>
          <bgColor theme="6" tint="0.59993285927915285"/>
        </patternFill>
      </fill>
    </dxf>
    <dxf>
      <font>
        <color theme="9" tint="-0.49995422223578601"/>
      </font>
      <fill>
        <patternFill>
          <bgColor rgb="FFFFFF99"/>
        </patternFill>
      </fill>
    </dxf>
    <dxf>
      <font>
        <color rgb="FFFF0000"/>
      </font>
      <fill>
        <patternFill>
          <bgColor theme="5" tint="0.59993285927915285"/>
        </patternFill>
      </fill>
    </dxf>
    <dxf>
      <font>
        <color rgb="FF9C6500"/>
      </font>
      <fill>
        <patternFill>
          <bgColor rgb="FFFFEB9C"/>
        </patternFill>
      </fill>
    </dxf>
    <dxf>
      <font>
        <color rgb="FF9C6500"/>
      </font>
      <fill>
        <patternFill>
          <bgColor rgb="FFFFEB9C"/>
        </patternFill>
      </fill>
    </dxf>
    <dxf>
      <font>
        <color rgb="FFFF0000"/>
      </font>
      <fill>
        <patternFill>
          <bgColor rgb="FFFFC7CE"/>
        </patternFill>
      </fill>
    </dxf>
    <dxf>
      <font>
        <color rgb="FF9C6500"/>
      </font>
      <fill>
        <patternFill>
          <bgColor rgb="FFFFEB9C"/>
        </patternFill>
      </fill>
    </dxf>
    <dxf>
      <font>
        <color rgb="FFFF0000"/>
      </font>
      <fill>
        <patternFill>
          <bgColor rgb="FFFFC7CE"/>
        </patternFill>
      </fill>
    </dxf>
    <dxf>
      <font>
        <color theme="6" tint="-0.49995422223578601"/>
      </font>
      <fill>
        <patternFill>
          <bgColor theme="6" tint="0.59993285927915285"/>
        </patternFill>
      </fill>
    </dxf>
    <dxf>
      <font>
        <color theme="6" tint="-0.49995422223578601"/>
      </font>
      <fill>
        <patternFill>
          <bgColor theme="6" tint="0.59993285927915285"/>
        </patternFill>
      </fill>
    </dxf>
    <dxf>
      <font>
        <color rgb="FFFF0000"/>
      </font>
      <fill>
        <patternFill>
          <bgColor theme="5" tint="0.59993285927915285"/>
        </patternFill>
      </fill>
    </dxf>
    <dxf>
      <font>
        <color theme="9" tint="-0.49995422223578601"/>
      </font>
      <fill>
        <patternFill>
          <bgColor rgb="FFFFFF99"/>
        </patternFill>
      </fill>
    </dxf>
    <dxf>
      <font>
        <color theme="6" tint="-0.49995422223578601"/>
      </font>
      <fill>
        <patternFill>
          <bgColor theme="6" tint="0.59993285927915285"/>
        </patternFill>
      </fill>
    </dxf>
    <dxf>
      <font>
        <color rgb="FFFF0000"/>
      </font>
      <fill>
        <patternFill>
          <bgColor rgb="FFFFC7CE"/>
        </patternFill>
      </fill>
    </dxf>
    <dxf>
      <font>
        <color rgb="FF9C6500"/>
      </font>
      <fill>
        <patternFill>
          <bgColor rgb="FFFFEB9C"/>
        </patternFill>
      </fill>
    </dxf>
    <dxf>
      <font>
        <color theme="9" tint="-0.49995422223578601"/>
      </font>
      <fill>
        <patternFill>
          <bgColor rgb="FFFFFF99"/>
        </patternFill>
      </fill>
    </dxf>
    <dxf>
      <font>
        <color rgb="FFFF0000"/>
      </font>
      <fill>
        <patternFill>
          <bgColor theme="5" tint="0.59993285927915285"/>
        </patternFill>
      </fill>
    </dxf>
    <dxf>
      <font>
        <color rgb="FF9C6500"/>
      </font>
      <fill>
        <patternFill>
          <bgColor rgb="FFFFEB9C"/>
        </patternFill>
      </fill>
    </dxf>
    <dxf>
      <font>
        <color rgb="FFFF0000"/>
      </font>
      <fill>
        <patternFill>
          <bgColor rgb="FFFFC7CE"/>
        </patternFill>
      </fill>
    </dxf>
    <dxf>
      <font>
        <color theme="6" tint="-0.49995422223578601"/>
      </font>
      <fill>
        <patternFill>
          <bgColor theme="6" tint="0.59993285927915285"/>
        </patternFill>
      </fill>
    </dxf>
    <dxf>
      <font>
        <color rgb="FFFF0000"/>
      </font>
      <fill>
        <patternFill>
          <bgColor rgb="FFFFC7CE"/>
        </patternFill>
      </fill>
    </dxf>
    <dxf>
      <font>
        <color rgb="FF9C6500"/>
      </font>
      <fill>
        <patternFill>
          <bgColor rgb="FFFFEB9C"/>
        </patternFill>
      </fill>
    </dxf>
    <dxf>
      <font>
        <color theme="6" tint="-0.49995422223578601"/>
      </font>
      <fill>
        <patternFill>
          <bgColor theme="6" tint="0.59993285927915285"/>
        </patternFill>
      </fill>
    </dxf>
    <dxf>
      <font>
        <color theme="9" tint="-0.49995422223578601"/>
      </font>
      <fill>
        <patternFill>
          <bgColor rgb="FFFFFF99"/>
        </patternFill>
      </fill>
    </dxf>
    <dxf>
      <font>
        <color rgb="FFFF0000"/>
      </font>
      <fill>
        <patternFill>
          <bgColor theme="5" tint="0.59993285927915285"/>
        </patternFill>
      </fill>
    </dxf>
    <dxf>
      <font>
        <color rgb="FFFF0000"/>
      </font>
      <fill>
        <patternFill>
          <bgColor theme="5" tint="0.59993285927915285"/>
        </patternFill>
      </fill>
    </dxf>
    <dxf>
      <font>
        <color theme="6" tint="-0.49995422223578601"/>
      </font>
      <fill>
        <patternFill>
          <bgColor theme="6" tint="0.59993285927915285"/>
        </patternFill>
      </fill>
    </dxf>
    <dxf>
      <font>
        <color rgb="FFFF0000"/>
      </font>
      <fill>
        <patternFill>
          <bgColor rgb="FFFFC7CE"/>
        </patternFill>
      </fill>
    </dxf>
    <dxf>
      <font>
        <color rgb="FF9C6500"/>
      </font>
      <fill>
        <patternFill>
          <bgColor rgb="FFFFEB9C"/>
        </patternFill>
      </fill>
    </dxf>
    <dxf>
      <font>
        <color theme="9" tint="-0.49995422223578601"/>
      </font>
      <fill>
        <patternFill>
          <bgColor rgb="FFFFFF99"/>
        </patternFill>
      </fill>
    </dxf>
    <dxf>
      <font>
        <color theme="6" tint="-0.49995422223578601"/>
      </font>
      <fill>
        <patternFill>
          <bgColor theme="6" tint="0.59993285927915285"/>
        </patternFill>
      </fill>
    </dxf>
    <dxf>
      <font>
        <color theme="6" tint="-0.49995422223578601"/>
      </font>
      <fill>
        <patternFill>
          <bgColor theme="6" tint="0.59993285927915285"/>
        </patternFill>
      </fill>
    </dxf>
    <dxf>
      <font>
        <color rgb="FFFF0000"/>
      </font>
      <fill>
        <patternFill>
          <bgColor theme="5" tint="0.59993285927915285"/>
        </patternFill>
      </fill>
    </dxf>
    <dxf>
      <font>
        <color theme="9" tint="-0.49995422223578601"/>
      </font>
      <fill>
        <patternFill>
          <bgColor rgb="FFFFFF99"/>
        </patternFill>
      </fill>
    </dxf>
    <dxf>
      <font>
        <color rgb="FF9C6500"/>
      </font>
      <fill>
        <patternFill>
          <bgColor rgb="FFFFEB9C"/>
        </patternFill>
      </fill>
    </dxf>
    <dxf>
      <font>
        <color theme="6" tint="-0.49995422223578601"/>
      </font>
      <fill>
        <patternFill>
          <bgColor theme="6" tint="0.59993285927915285"/>
        </patternFill>
      </fill>
    </dxf>
    <dxf>
      <font>
        <color rgb="FFFF0000"/>
      </font>
      <fill>
        <patternFill>
          <bgColor rgb="FFFFC7CE"/>
        </patternFill>
      </fill>
    </dxf>
    <dxf>
      <font>
        <color theme="9" tint="-0.49995422223578601"/>
      </font>
      <fill>
        <patternFill>
          <bgColor rgb="FFFFFF99"/>
        </patternFill>
      </fill>
    </dxf>
    <dxf>
      <font>
        <color theme="6" tint="-0.49995422223578601"/>
      </font>
      <fill>
        <patternFill>
          <bgColor theme="6" tint="0.59993285927915285"/>
        </patternFill>
      </fill>
    </dxf>
    <dxf>
      <font>
        <color theme="6" tint="-0.49995422223578601"/>
      </font>
      <fill>
        <patternFill>
          <bgColor theme="6" tint="0.59993285927915285"/>
        </patternFill>
      </fill>
    </dxf>
    <dxf>
      <font>
        <color rgb="FF9C6500"/>
      </font>
      <fill>
        <patternFill>
          <bgColor rgb="FFFFEB9C"/>
        </patternFill>
      </fill>
    </dxf>
    <dxf>
      <font>
        <color rgb="FFFF0000"/>
      </font>
      <fill>
        <patternFill>
          <bgColor rgb="FFFFC7CE"/>
        </patternFill>
      </fill>
    </dxf>
    <dxf>
      <font>
        <color theme="6" tint="-0.49995422223578601"/>
      </font>
      <fill>
        <patternFill>
          <bgColor theme="6" tint="0.59993285927915285"/>
        </patternFill>
      </fill>
    </dxf>
    <dxf>
      <font>
        <color rgb="FFFF0000"/>
      </font>
      <fill>
        <patternFill>
          <bgColor theme="5" tint="0.59993285927915285"/>
        </patternFill>
      </fill>
    </dxf>
    <dxf>
      <font>
        <color rgb="FF9C0006"/>
      </font>
    </dxf>
    <dxf>
      <font>
        <color rgb="FF00B050"/>
      </font>
    </dxf>
    <dxf>
      <font>
        <color rgb="FF9C6500"/>
      </font>
      <fill>
        <patternFill>
          <bgColor rgb="FFFFEB9C"/>
        </patternFill>
      </fill>
    </dxf>
    <dxf>
      <font>
        <color rgb="FFFF0000"/>
      </font>
      <fill>
        <patternFill>
          <bgColor rgb="FFFFC7CE"/>
        </patternFill>
      </fill>
    </dxf>
    <dxf>
      <font>
        <color theme="6" tint="-0.49995422223578601"/>
      </font>
      <fill>
        <patternFill>
          <bgColor theme="6" tint="0.59993285927915285"/>
        </patternFill>
      </fill>
    </dxf>
    <dxf>
      <font>
        <color theme="9" tint="-0.49995422223578601"/>
      </font>
      <fill>
        <patternFill>
          <bgColor rgb="FFFFFF99"/>
        </patternFill>
      </fill>
    </dxf>
    <dxf>
      <font>
        <color rgb="FFFF0000"/>
      </font>
      <fill>
        <patternFill>
          <bgColor theme="5" tint="0.59993285927915285"/>
        </patternFill>
      </fill>
    </dxf>
    <dxf>
      <font>
        <color theme="6" tint="-0.49995422223578601"/>
      </font>
      <fill>
        <patternFill>
          <bgColor theme="6" tint="0.59993285927915285"/>
        </patternFill>
      </fill>
    </dxf>
    <dxf>
      <font>
        <color theme="6" tint="-0.49995422223578601"/>
      </font>
      <fill>
        <patternFill>
          <bgColor theme="6" tint="0.59993285927915285"/>
        </patternFill>
      </fill>
    </dxf>
    <dxf>
      <font>
        <color rgb="FF9C6500"/>
      </font>
      <fill>
        <patternFill>
          <bgColor rgb="FFFFEB9C"/>
        </patternFill>
      </fill>
    </dxf>
    <dxf>
      <font>
        <color rgb="FFFF0000"/>
      </font>
      <fill>
        <patternFill>
          <bgColor rgb="FFFFC7CE"/>
        </patternFill>
      </fill>
    </dxf>
    <dxf>
      <font>
        <color rgb="FF9C6500"/>
      </font>
      <fill>
        <patternFill>
          <bgColor rgb="FFFFEB9C"/>
        </patternFill>
      </fill>
    </dxf>
    <dxf>
      <font>
        <color rgb="FFFF0000"/>
      </font>
      <fill>
        <patternFill>
          <bgColor rgb="FFFFC7CE"/>
        </patternFill>
      </fill>
    </dxf>
    <dxf>
      <font>
        <color theme="6" tint="-0.49995422223578601"/>
      </font>
      <fill>
        <patternFill>
          <bgColor theme="6" tint="0.59993285927915285"/>
        </patternFill>
      </fill>
    </dxf>
    <dxf>
      <font>
        <color theme="9" tint="-0.49995422223578601"/>
      </font>
      <fill>
        <patternFill>
          <bgColor rgb="FFFFFF99"/>
        </patternFill>
      </fill>
    </dxf>
    <dxf>
      <font>
        <color rgb="FFFF0000"/>
      </font>
      <fill>
        <patternFill>
          <bgColor theme="5" tint="0.59993285927915285"/>
        </patternFill>
      </fill>
    </dxf>
    <dxf>
      <font>
        <color rgb="FF9C6500"/>
      </font>
      <fill>
        <patternFill>
          <bgColor rgb="FFFFEB9C"/>
        </patternFill>
      </fill>
    </dxf>
    <dxf>
      <font>
        <color rgb="FFFF0000"/>
      </font>
      <fill>
        <patternFill>
          <bgColor rgb="FFFFC7CE"/>
        </patternFill>
      </fill>
    </dxf>
    <dxf>
      <font>
        <color theme="6" tint="-0.49995422223578601"/>
      </font>
      <fill>
        <patternFill>
          <bgColor theme="6" tint="0.59993285927915285"/>
        </patternFill>
      </fill>
    </dxf>
    <dxf>
      <font>
        <color theme="9" tint="-0.49995422223578601"/>
      </font>
      <fill>
        <patternFill>
          <bgColor rgb="FFFFFF99"/>
        </patternFill>
      </fill>
    </dxf>
    <dxf>
      <font>
        <color rgb="FFFF0000"/>
      </font>
      <fill>
        <patternFill>
          <bgColor theme="5" tint="0.59993285927915285"/>
        </patternFill>
      </fill>
    </dxf>
    <dxf>
      <font>
        <color theme="6" tint="-0.49995422223578601"/>
      </font>
      <fill>
        <patternFill>
          <bgColor theme="6" tint="0.59993285927915285"/>
        </patternFill>
      </fill>
    </dxf>
    <dxf>
      <font>
        <color theme="6" tint="-0.49995422223578601"/>
      </font>
      <fill>
        <patternFill>
          <bgColor theme="6" tint="0.59993285927915285"/>
        </patternFill>
      </fill>
    </dxf>
    <dxf>
      <font>
        <color rgb="FF9C6500"/>
      </font>
      <fill>
        <patternFill>
          <bgColor rgb="FFFFEB9C"/>
        </patternFill>
      </fill>
    </dxf>
    <dxf>
      <font>
        <color rgb="FFFF0000"/>
      </font>
      <fill>
        <patternFill>
          <bgColor rgb="FFFFC7CE"/>
        </patternFill>
      </fill>
    </dxf>
    <dxf>
      <font>
        <color theme="6" tint="-0.49995422223578601"/>
      </font>
      <fill>
        <patternFill>
          <bgColor theme="6" tint="0.59993285927915285"/>
        </patternFill>
      </fill>
    </dxf>
    <dxf>
      <font>
        <color theme="9" tint="-0.49995422223578601"/>
      </font>
      <fill>
        <patternFill>
          <bgColor rgb="FFFFFF99"/>
        </patternFill>
      </fill>
    </dxf>
    <dxf>
      <font>
        <color rgb="FFFF0000"/>
      </font>
      <fill>
        <patternFill>
          <bgColor theme="5" tint="0.59993285927915285"/>
        </patternFill>
      </fill>
    </dxf>
    <dxf>
      <font>
        <color rgb="FF00B050"/>
      </font>
    </dxf>
    <dxf>
      <font>
        <color rgb="FF9C000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Q19"/>
  <sheetViews>
    <sheetView workbookViewId="0"/>
  </sheetViews>
  <sheetFormatPr baseColWidth="10" defaultColWidth="11.42578125" defaultRowHeight="15" x14ac:dyDescent="0.25"/>
  <cols>
    <col min="1" max="1" width="3.85546875" style="12" customWidth="1"/>
    <col min="2" max="2" width="5.85546875" style="12" customWidth="1"/>
    <col min="3" max="3" width="12.7109375" style="12" customWidth="1"/>
    <col min="4" max="4" width="31.7109375" style="12" customWidth="1"/>
    <col min="5" max="5" width="21" style="12" customWidth="1"/>
    <col min="6" max="6" width="31.7109375" style="13" customWidth="1"/>
    <col min="7" max="7" width="23.7109375" style="13" customWidth="1"/>
    <col min="8" max="8" width="15.7109375" style="14" customWidth="1"/>
    <col min="9" max="9" width="14.140625" style="14" customWidth="1"/>
    <col min="10" max="10" width="13.7109375" style="14" customWidth="1"/>
    <col min="11" max="11" width="31.7109375" style="14" customWidth="1"/>
    <col min="12" max="12" width="29.28515625" style="12" customWidth="1"/>
    <col min="13" max="13" width="23.7109375" style="12" customWidth="1"/>
    <col min="14" max="14" width="12.7109375" style="14" customWidth="1"/>
    <col min="15" max="15" width="15.28515625" style="14" customWidth="1"/>
    <col min="16" max="16" width="15.42578125" style="14" customWidth="1"/>
    <col min="17" max="17" width="23.7109375" style="12" customWidth="1"/>
    <col min="18" max="16384" width="11.42578125" style="12"/>
  </cols>
  <sheetData>
    <row r="2" spans="2:17" ht="21" x14ac:dyDescent="0.25">
      <c r="B2" s="48" t="s">
        <v>0</v>
      </c>
    </row>
    <row r="3" spans="2:17" s="14" customFormat="1" x14ac:dyDescent="0.25"/>
    <row r="4" spans="2:17" ht="21" x14ac:dyDescent="0.25">
      <c r="B4" s="44" t="s">
        <v>1</v>
      </c>
    </row>
    <row r="5" spans="2:17" ht="21" x14ac:dyDescent="0.25">
      <c r="B5" s="28" t="s">
        <v>2</v>
      </c>
    </row>
    <row r="6" spans="2:17" ht="21" x14ac:dyDescent="0.25">
      <c r="B6" s="28" t="s">
        <v>3</v>
      </c>
    </row>
    <row r="7" spans="2:17" ht="21" x14ac:dyDescent="0.25">
      <c r="B7" s="28" t="s">
        <v>4</v>
      </c>
    </row>
    <row r="8" spans="2:17" ht="21" x14ac:dyDescent="0.25">
      <c r="B8" s="28" t="s">
        <v>5</v>
      </c>
    </row>
    <row r="9" spans="2:17" ht="21" x14ac:dyDescent="0.25">
      <c r="B9" s="28" t="s">
        <v>6</v>
      </c>
    </row>
    <row r="11" spans="2:17" ht="21" x14ac:dyDescent="0.25">
      <c r="B11" s="44" t="s">
        <v>7</v>
      </c>
    </row>
    <row r="12" spans="2:17" ht="8.25" customHeight="1" x14ac:dyDescent="0.25"/>
    <row r="13" spans="2:17" ht="21" x14ac:dyDescent="0.25">
      <c r="B13" s="76" t="s">
        <v>8</v>
      </c>
      <c r="C13" s="78" t="s">
        <v>9</v>
      </c>
      <c r="D13" s="80" t="s">
        <v>10</v>
      </c>
      <c r="E13" s="81"/>
      <c r="F13" s="81"/>
      <c r="G13" s="82"/>
      <c r="H13" s="83" t="s">
        <v>11</v>
      </c>
      <c r="I13" s="84"/>
      <c r="J13" s="85"/>
      <c r="K13" s="86" t="s">
        <v>12</v>
      </c>
      <c r="L13" s="87"/>
      <c r="M13" s="87"/>
      <c r="N13" s="83" t="s">
        <v>13</v>
      </c>
      <c r="O13" s="84"/>
      <c r="P13" s="85"/>
      <c r="Q13" s="74" t="s">
        <v>14</v>
      </c>
    </row>
    <row r="14" spans="2:17" ht="22.5" x14ac:dyDescent="0.25">
      <c r="B14" s="77"/>
      <c r="C14" s="79"/>
      <c r="D14" s="51" t="s">
        <v>15</v>
      </c>
      <c r="E14" s="51" t="s">
        <v>16</v>
      </c>
      <c r="F14" s="51" t="s">
        <v>17</v>
      </c>
      <c r="G14" s="51" t="s">
        <v>18</v>
      </c>
      <c r="H14" s="52" t="s">
        <v>19</v>
      </c>
      <c r="I14" s="53" t="s">
        <v>18</v>
      </c>
      <c r="J14" s="54" t="s">
        <v>20</v>
      </c>
      <c r="K14" s="58" t="s">
        <v>21</v>
      </c>
      <c r="L14" s="51" t="s">
        <v>22</v>
      </c>
      <c r="M14" s="59" t="s">
        <v>23</v>
      </c>
      <c r="N14" s="60" t="s">
        <v>19</v>
      </c>
      <c r="O14" s="61" t="s">
        <v>18</v>
      </c>
      <c r="P14" s="62" t="s">
        <v>20</v>
      </c>
      <c r="Q14" s="75"/>
    </row>
    <row r="15" spans="2:17" ht="30" x14ac:dyDescent="0.25">
      <c r="B15" s="15">
        <v>1</v>
      </c>
      <c r="C15" s="29" t="s">
        <v>24</v>
      </c>
      <c r="D15" s="30" t="s">
        <v>25</v>
      </c>
      <c r="E15" s="30" t="s">
        <v>26</v>
      </c>
      <c r="F15" s="30" t="s">
        <v>27</v>
      </c>
      <c r="G15" s="65" t="s">
        <v>28</v>
      </c>
      <c r="H15" s="15" t="s">
        <v>29</v>
      </c>
      <c r="I15" s="31" t="s">
        <v>30</v>
      </c>
      <c r="J15" s="33">
        <f>(VLOOKUP(I15,Bewertungsmatrix!$A$3:$C$5,2))*(VLOOKUP(H15,Bewertungsmatrix!$A$8:$C$10,2))</f>
        <v>60</v>
      </c>
      <c r="K15" s="68" t="s">
        <v>31</v>
      </c>
      <c r="L15" s="30" t="s">
        <v>32</v>
      </c>
      <c r="M15" s="32" t="s">
        <v>33</v>
      </c>
      <c r="N15" s="15" t="s">
        <v>29</v>
      </c>
      <c r="O15" s="31" t="s">
        <v>30</v>
      </c>
      <c r="P15" s="33">
        <f>(VLOOKUP(O15,Bewertungsmatrix!$A$3:$C$5,2))*(VLOOKUP(N15,Bewertungsmatrix!$A$8:$C$10,2))</f>
        <v>60</v>
      </c>
      <c r="Q15" s="71" t="s">
        <v>34</v>
      </c>
    </row>
    <row r="16" spans="2:17" x14ac:dyDescent="0.25">
      <c r="B16" s="16">
        <v>2</v>
      </c>
      <c r="C16" s="34" t="s">
        <v>24</v>
      </c>
      <c r="D16" s="35" t="s">
        <v>25</v>
      </c>
      <c r="E16" s="35" t="s">
        <v>26</v>
      </c>
      <c r="F16" s="35" t="s">
        <v>27</v>
      </c>
      <c r="G16" s="66" t="s">
        <v>28</v>
      </c>
      <c r="H16" s="16" t="s">
        <v>29</v>
      </c>
      <c r="I16" s="36" t="s">
        <v>30</v>
      </c>
      <c r="J16" s="38">
        <f>(VLOOKUP(I16,Bewertungsmatrix!$A$3:$C$5,2))*(VLOOKUP(H16,Bewertungsmatrix!$A$8:$C$10,2))</f>
        <v>60</v>
      </c>
      <c r="K16" s="69" t="s">
        <v>35</v>
      </c>
      <c r="L16" s="35" t="s">
        <v>36</v>
      </c>
      <c r="M16" s="37" t="s">
        <v>37</v>
      </c>
      <c r="N16" s="16" t="s">
        <v>38</v>
      </c>
      <c r="O16" s="36" t="s">
        <v>30</v>
      </c>
      <c r="P16" s="38">
        <f>(VLOOKUP(O16,Bewertungsmatrix!$A$3:$C$5,2))*(VLOOKUP(N16,Bewertungsmatrix!$A$8:$C$10,2))</f>
        <v>30</v>
      </c>
      <c r="Q16" s="72" t="s">
        <v>34</v>
      </c>
    </row>
    <row r="17" spans="2:17" ht="30" x14ac:dyDescent="0.25">
      <c r="B17" s="16">
        <v>3</v>
      </c>
      <c r="C17" s="34" t="s">
        <v>39</v>
      </c>
      <c r="D17" s="35" t="s">
        <v>25</v>
      </c>
      <c r="E17" s="35" t="s">
        <v>26</v>
      </c>
      <c r="F17" s="35" t="s">
        <v>40</v>
      </c>
      <c r="G17" s="66" t="s">
        <v>28</v>
      </c>
      <c r="H17" s="16" t="s">
        <v>38</v>
      </c>
      <c r="I17" s="36" t="s">
        <v>30</v>
      </c>
      <c r="J17" s="38">
        <f>(VLOOKUP(I17,Bewertungsmatrix!$A$3:$C$5,2))*(VLOOKUP(H17,Bewertungsmatrix!$A$8:$C$10,2))</f>
        <v>30</v>
      </c>
      <c r="K17" s="69" t="s">
        <v>41</v>
      </c>
      <c r="L17" s="35" t="s">
        <v>32</v>
      </c>
      <c r="M17" s="37" t="s">
        <v>42</v>
      </c>
      <c r="N17" s="16" t="s">
        <v>38</v>
      </c>
      <c r="O17" s="36" t="s">
        <v>30</v>
      </c>
      <c r="P17" s="38">
        <f>(VLOOKUP(O17,Bewertungsmatrix!$A$3:$C$5,2))*(VLOOKUP(N17,Bewertungsmatrix!$A$8:$C$10,2))</f>
        <v>30</v>
      </c>
      <c r="Q17" s="72" t="s">
        <v>34</v>
      </c>
    </row>
    <row r="18" spans="2:17" ht="30" x14ac:dyDescent="0.25">
      <c r="B18" s="16">
        <v>4</v>
      </c>
      <c r="C18" s="34" t="s">
        <v>39</v>
      </c>
      <c r="D18" s="35" t="s">
        <v>25</v>
      </c>
      <c r="E18" s="35" t="s">
        <v>26</v>
      </c>
      <c r="F18" s="35" t="s">
        <v>40</v>
      </c>
      <c r="G18" s="66" t="s">
        <v>28</v>
      </c>
      <c r="H18" s="16" t="s">
        <v>38</v>
      </c>
      <c r="I18" s="36" t="s">
        <v>30</v>
      </c>
      <c r="J18" s="38">
        <f>(VLOOKUP(I18,Bewertungsmatrix!$A$3:$C$5,2))*(VLOOKUP(H18,Bewertungsmatrix!$A$8:$C$10,2))</f>
        <v>30</v>
      </c>
      <c r="K18" s="69" t="s">
        <v>43</v>
      </c>
      <c r="L18" s="35" t="s">
        <v>36</v>
      </c>
      <c r="M18" s="37" t="s">
        <v>29</v>
      </c>
      <c r="N18" s="16" t="s">
        <v>29</v>
      </c>
      <c r="O18" s="36" t="s">
        <v>44</v>
      </c>
      <c r="P18" s="38">
        <f>(VLOOKUP(O18,Bewertungsmatrix!$A$3:$C$5,2))*(VLOOKUP(N18,Bewertungsmatrix!$A$8:$C$10,2))</f>
        <v>18</v>
      </c>
      <c r="Q18" s="72" t="s">
        <v>34</v>
      </c>
    </row>
    <row r="19" spans="2:17" ht="30" x14ac:dyDescent="0.25">
      <c r="B19" s="17">
        <v>5</v>
      </c>
      <c r="C19" s="39" t="s">
        <v>39</v>
      </c>
      <c r="D19" s="40" t="s">
        <v>25</v>
      </c>
      <c r="E19" s="40" t="s">
        <v>26</v>
      </c>
      <c r="F19" s="40" t="s">
        <v>40</v>
      </c>
      <c r="G19" s="67" t="s">
        <v>28</v>
      </c>
      <c r="H19" s="17" t="s">
        <v>38</v>
      </c>
      <c r="I19" s="41" t="s">
        <v>30</v>
      </c>
      <c r="J19" s="43">
        <f>(VLOOKUP(I19,Bewertungsmatrix!$A$3:$C$5,2))*(VLOOKUP(H19,Bewertungsmatrix!$A$8:$C$10,2))</f>
        <v>30</v>
      </c>
      <c r="K19" s="70" t="s">
        <v>45</v>
      </c>
      <c r="L19" s="40" t="s">
        <v>36</v>
      </c>
      <c r="M19" s="42" t="s">
        <v>33</v>
      </c>
      <c r="N19" s="17" t="s">
        <v>38</v>
      </c>
      <c r="O19" s="41" t="s">
        <v>33</v>
      </c>
      <c r="P19" s="43">
        <f>(VLOOKUP(O19,Bewertungsmatrix!$A$3:$C$5,2))*(VLOOKUP(N19,Bewertungsmatrix!$A$8:$C$10,2))</f>
        <v>18</v>
      </c>
      <c r="Q19" s="73" t="s">
        <v>34</v>
      </c>
    </row>
  </sheetData>
  <mergeCells count="7">
    <mergeCell ref="Q13:Q14"/>
    <mergeCell ref="B13:B14"/>
    <mergeCell ref="C13:C14"/>
    <mergeCell ref="D13:G13"/>
    <mergeCell ref="H13:J13"/>
    <mergeCell ref="K13:M13"/>
    <mergeCell ref="N13:P13"/>
  </mergeCells>
  <conditionalFormatting sqref="C15:C19">
    <cfRule type="containsText" dxfId="104" priority="84" operator="containsText" text="Eingetreten">
      <formula>NOT(ISERROR(SEARCH("Eingetreten",C15)))</formula>
    </cfRule>
    <cfRule type="containsText" dxfId="103" priority="85" operator="containsText" text="Verhindert">
      <formula>NOT(ISERROR(SEARCH("Verhindert",C15)))</formula>
    </cfRule>
  </conditionalFormatting>
  <conditionalFormatting sqref="H15:J19 M15:M19">
    <cfRule type="containsText" dxfId="102" priority="71" operator="containsText" text="Hoch">
      <formula>NOT(ISERROR(SEARCH("Hoch",H15)))</formula>
    </cfRule>
    <cfRule type="containsText" dxfId="101" priority="72" operator="containsText" text="Mittel">
      <formula>NOT(ISERROR(SEARCH("Mittel",H15)))</formula>
    </cfRule>
    <cfRule type="containsText" dxfId="100" priority="73" operator="containsText" text="Gering">
      <formula>NOT(ISERROR(SEARCH("Gering",H15)))</formula>
    </cfRule>
    <cfRule type="containsText" dxfId="99" priority="74" operator="containsText" text="Kritisch">
      <formula>NOT(ISERROR(SEARCH("Kritisch",H15)))</formula>
    </cfRule>
    <cfRule type="containsText" dxfId="98" priority="75" operator="containsText" text="Hoch">
      <formula>NOT(ISERROR(SEARCH("Hoch",H15)))</formula>
    </cfRule>
  </conditionalFormatting>
  <conditionalFormatting sqref="M15:O19 H15:J19">
    <cfRule type="cellIs" dxfId="97" priority="69" operator="equal">
      <formula>"Gewöhnlich"</formula>
    </cfRule>
    <cfRule type="cellIs" dxfId="96" priority="70" operator="equal">
      <formula>"Niedrig"</formula>
    </cfRule>
  </conditionalFormatting>
  <conditionalFormatting sqref="N15:N19">
    <cfRule type="containsText" dxfId="95" priority="29" operator="containsText" text="Hoch">
      <formula>NOT(ISERROR(SEARCH("Hoch",N15)))</formula>
    </cfRule>
    <cfRule type="containsText" dxfId="94" priority="30" operator="containsText" text="Mittel">
      <formula>NOT(ISERROR(SEARCH("Mittel",N15)))</formula>
    </cfRule>
    <cfRule type="containsText" dxfId="93" priority="31" operator="containsText" text="Gering">
      <formula>NOT(ISERROR(SEARCH("Gering",N15)))</formula>
    </cfRule>
    <cfRule type="containsText" dxfId="92" priority="32" operator="containsText" text="Kritisch">
      <formula>NOT(ISERROR(SEARCH("Kritisch",N15)))</formula>
    </cfRule>
    <cfRule type="containsText" dxfId="91" priority="33" operator="containsText" text="Hoch">
      <formula>NOT(ISERROR(SEARCH("Hoch",N15)))</formula>
    </cfRule>
  </conditionalFormatting>
  <conditionalFormatting sqref="N15:O19">
    <cfRule type="containsText" dxfId="90" priority="81" operator="containsText" text="Hoch">
      <formula>NOT(ISERROR(SEARCH("Hoch",N15)))</formula>
    </cfRule>
    <cfRule type="containsText" dxfId="89" priority="82" operator="containsText" text="Mittel">
      <formula>NOT(ISERROR(SEARCH("Mittel",N15)))</formula>
    </cfRule>
    <cfRule type="containsText" dxfId="88" priority="83" operator="containsText" text="Gering">
      <formula>NOT(ISERROR(SEARCH("Gering",N15)))</formula>
    </cfRule>
    <cfRule type="containsText" dxfId="87" priority="86" operator="containsText" text="Kritisch">
      <formula>NOT(ISERROR(SEARCH("Kritisch",N15)))</formula>
    </cfRule>
    <cfRule type="containsText" dxfId="86" priority="87" operator="containsText" text="Hoch">
      <formula>NOT(ISERROR(SEARCH("Hoch",N15)))</formula>
    </cfRule>
  </conditionalFormatting>
  <conditionalFormatting sqref="O15:P19">
    <cfRule type="containsText" dxfId="85" priority="78" operator="containsText" text="Kritisch">
      <formula>NOT(ISERROR(SEARCH("Kritisch",O15)))</formula>
    </cfRule>
    <cfRule type="containsText" dxfId="84" priority="79" operator="containsText" text="Hoch">
      <formula>NOT(ISERROR(SEARCH("Hoch",O15)))</formula>
    </cfRule>
  </conditionalFormatting>
  <conditionalFormatting sqref="Q15:Q19">
    <cfRule type="cellIs" dxfId="83" priority="62" operator="equal">
      <formula>"Gewöhnlich"</formula>
    </cfRule>
    <cfRule type="cellIs" dxfId="82" priority="63" operator="equal">
      <formula>"Niedrig"</formula>
    </cfRule>
    <cfRule type="containsText" dxfId="81" priority="64" operator="containsText" text="Hoch">
      <formula>NOT(ISERROR(SEARCH("Hoch",Q15)))</formula>
    </cfRule>
    <cfRule type="containsText" dxfId="80" priority="65" operator="containsText" text="Mittel">
      <formula>NOT(ISERROR(SEARCH("Mittel",Q15)))</formula>
    </cfRule>
    <cfRule type="containsText" dxfId="79" priority="66" operator="containsText" text="Gering">
      <formula>NOT(ISERROR(SEARCH("Gering",Q15)))</formula>
    </cfRule>
    <cfRule type="containsText" dxfId="78" priority="67" operator="containsText" text="Kritisch">
      <formula>NOT(ISERROR(SEARCH("Kritisch",Q15)))</formula>
    </cfRule>
    <cfRule type="containsText" dxfId="77" priority="68" operator="containsText" text="Hoch">
      <formula>NOT(ISERROR(SEARCH("Hoch",Q15)))</formula>
    </cfRule>
  </conditionalFormatting>
  <dataValidations count="1">
    <dataValidation type="list" allowBlank="1" showInputMessage="1" showErrorMessage="1" sqref="C15:C19" xr:uid="{00000000-0002-0000-0000-000000000000}">
      <formula1>"Monitoring, Verhindert, Eingetreten"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Q24"/>
  <sheetViews>
    <sheetView tabSelected="1" workbookViewId="0">
      <selection activeCell="O19" sqref="O19"/>
    </sheetView>
  </sheetViews>
  <sheetFormatPr baseColWidth="10" defaultColWidth="11.42578125" defaultRowHeight="15" x14ac:dyDescent="0.25"/>
  <cols>
    <col min="1" max="1" width="3" style="12" customWidth="1"/>
    <col min="2" max="2" width="5.85546875" style="12" customWidth="1"/>
    <col min="3" max="3" width="12.7109375" style="12" customWidth="1"/>
    <col min="4" max="4" width="31.7109375" style="12" customWidth="1"/>
    <col min="5" max="5" width="21" style="12" customWidth="1"/>
    <col min="6" max="6" width="31.7109375" style="13" customWidth="1"/>
    <col min="7" max="7" width="23.7109375" style="13" customWidth="1"/>
    <col min="8" max="8" width="12.7109375" style="14" customWidth="1"/>
    <col min="9" max="9" width="14.140625" style="14" customWidth="1"/>
    <col min="10" max="10" width="13.7109375" style="14" customWidth="1"/>
    <col min="11" max="11" width="31.7109375" style="14" customWidth="1"/>
    <col min="12" max="12" width="24" style="12" customWidth="1"/>
    <col min="13" max="13" width="23.7109375" style="12" customWidth="1"/>
    <col min="14" max="14" width="12.7109375" style="14" customWidth="1"/>
    <col min="15" max="15" width="15.28515625" style="14" customWidth="1"/>
    <col min="16" max="16" width="15.42578125" style="14" customWidth="1"/>
    <col min="17" max="17" width="23.7109375" style="12" customWidth="1"/>
    <col min="18" max="16384" width="11.42578125" style="12"/>
  </cols>
  <sheetData>
    <row r="2" spans="2:17" s="14" customFormat="1" ht="38.25" customHeight="1" x14ac:dyDescent="0.25">
      <c r="B2" s="76" t="s">
        <v>8</v>
      </c>
      <c r="C2" s="78" t="s">
        <v>9</v>
      </c>
      <c r="D2" s="80" t="s">
        <v>10</v>
      </c>
      <c r="E2" s="81"/>
      <c r="F2" s="81"/>
      <c r="G2" s="82"/>
      <c r="H2" s="83" t="s">
        <v>11</v>
      </c>
      <c r="I2" s="84"/>
      <c r="J2" s="85"/>
      <c r="K2" s="86" t="s">
        <v>12</v>
      </c>
      <c r="L2" s="87"/>
      <c r="M2" s="87"/>
      <c r="N2" s="83" t="s">
        <v>13</v>
      </c>
      <c r="O2" s="84"/>
      <c r="P2" s="85"/>
      <c r="Q2" s="74" t="s">
        <v>14</v>
      </c>
    </row>
    <row r="3" spans="2:17" s="14" customFormat="1" ht="29.25" customHeight="1" x14ac:dyDescent="0.25">
      <c r="B3" s="77"/>
      <c r="C3" s="79"/>
      <c r="D3" s="51" t="s">
        <v>15</v>
      </c>
      <c r="E3" s="51" t="s">
        <v>16</v>
      </c>
      <c r="F3" s="51" t="s">
        <v>17</v>
      </c>
      <c r="G3" s="51" t="s">
        <v>18</v>
      </c>
      <c r="H3" s="52" t="s">
        <v>19</v>
      </c>
      <c r="I3" s="53" t="s">
        <v>18</v>
      </c>
      <c r="J3" s="54" t="s">
        <v>20</v>
      </c>
      <c r="K3" s="58" t="s">
        <v>21</v>
      </c>
      <c r="L3" s="51" t="s">
        <v>22</v>
      </c>
      <c r="M3" s="59" t="s">
        <v>23</v>
      </c>
      <c r="N3" s="60" t="s">
        <v>19</v>
      </c>
      <c r="O3" s="61" t="s">
        <v>18</v>
      </c>
      <c r="P3" s="62" t="s">
        <v>20</v>
      </c>
      <c r="Q3" s="75"/>
    </row>
    <row r="4" spans="2:17" s="18" customFormat="1" ht="54" customHeight="1" x14ac:dyDescent="0.25">
      <c r="B4" s="49"/>
      <c r="C4" s="50"/>
      <c r="D4" s="55" t="s">
        <v>46</v>
      </c>
      <c r="E4" s="55" t="s">
        <v>47</v>
      </c>
      <c r="F4" s="55" t="s">
        <v>48</v>
      </c>
      <c r="G4" s="55" t="s">
        <v>49</v>
      </c>
      <c r="H4" s="56" t="s">
        <v>50</v>
      </c>
      <c r="I4" s="56" t="s">
        <v>51</v>
      </c>
      <c r="J4" s="57" t="s">
        <v>52</v>
      </c>
      <c r="K4" s="63" t="s">
        <v>53</v>
      </c>
      <c r="L4" s="55" t="s">
        <v>54</v>
      </c>
      <c r="M4" s="55" t="s">
        <v>55</v>
      </c>
      <c r="N4" s="56" t="s">
        <v>50</v>
      </c>
      <c r="O4" s="56" t="s">
        <v>51</v>
      </c>
      <c r="P4" s="57" t="s">
        <v>52</v>
      </c>
      <c r="Q4" s="64" t="s">
        <v>56</v>
      </c>
    </row>
    <row r="5" spans="2:17" ht="75" x14ac:dyDescent="0.25">
      <c r="B5" s="27">
        <v>1</v>
      </c>
      <c r="C5" s="19" t="s">
        <v>39</v>
      </c>
      <c r="D5" s="5" t="s">
        <v>75</v>
      </c>
      <c r="E5" s="5" t="s">
        <v>26</v>
      </c>
      <c r="F5" s="5" t="s">
        <v>76</v>
      </c>
      <c r="G5" s="5" t="s">
        <v>77</v>
      </c>
      <c r="H5" s="4" t="s">
        <v>29</v>
      </c>
      <c r="I5" s="4" t="s">
        <v>33</v>
      </c>
      <c r="J5" s="20">
        <f>(VLOOKUP(I5,Bewertungsmatrix!$A$3:$C$5,2))*(VLOOKUP(H5,Bewertungsmatrix!$A$8:$C$10,2))</f>
        <v>36</v>
      </c>
      <c r="K5" s="45" t="s">
        <v>78</v>
      </c>
      <c r="L5" s="5" t="s">
        <v>36</v>
      </c>
      <c r="M5" s="4" t="s">
        <v>37</v>
      </c>
      <c r="N5" s="4" t="s">
        <v>29</v>
      </c>
      <c r="O5" s="4" t="s">
        <v>44</v>
      </c>
      <c r="P5" s="20">
        <f>(VLOOKUP(O5,Bewertungsmatrix!$A$3:$C$5,2))*(VLOOKUP(N5,Bewertungsmatrix!$A$8:$C$10,2))</f>
        <v>18</v>
      </c>
      <c r="Q5" s="21" t="s">
        <v>79</v>
      </c>
    </row>
    <row r="6" spans="2:17" ht="75" x14ac:dyDescent="0.25">
      <c r="B6" s="27">
        <v>2</v>
      </c>
      <c r="C6" s="19" t="s">
        <v>39</v>
      </c>
      <c r="D6" s="5" t="s">
        <v>75</v>
      </c>
      <c r="E6" s="5" t="s">
        <v>26</v>
      </c>
      <c r="F6" s="5" t="s">
        <v>80</v>
      </c>
      <c r="G6" s="5" t="s">
        <v>81</v>
      </c>
      <c r="H6" s="4" t="s">
        <v>29</v>
      </c>
      <c r="I6" s="4" t="s">
        <v>33</v>
      </c>
      <c r="J6" s="20">
        <f>(VLOOKUP(I6,Bewertungsmatrix!$A$3:$C$5,2))*(VLOOKUP(H6,Bewertungsmatrix!$A$8:$C$10,2))</f>
        <v>36</v>
      </c>
      <c r="K6" s="45" t="s">
        <v>82</v>
      </c>
      <c r="L6" s="5" t="s">
        <v>36</v>
      </c>
      <c r="M6" s="4" t="s">
        <v>37</v>
      </c>
      <c r="N6" s="4" t="s">
        <v>29</v>
      </c>
      <c r="O6" s="4" t="s">
        <v>44</v>
      </c>
      <c r="P6" s="20">
        <f>(VLOOKUP(O6,Bewertungsmatrix!$A$3:$C$5,2))*(VLOOKUP(N6,Bewertungsmatrix!$A$8:$C$10,2))</f>
        <v>18</v>
      </c>
      <c r="Q6" s="21" t="s">
        <v>79</v>
      </c>
    </row>
    <row r="7" spans="2:17" ht="75" x14ac:dyDescent="0.25">
      <c r="B7" s="27">
        <v>3</v>
      </c>
      <c r="C7" s="19" t="s">
        <v>39</v>
      </c>
      <c r="D7" s="5" t="s">
        <v>75</v>
      </c>
      <c r="E7" s="5" t="s">
        <v>26</v>
      </c>
      <c r="F7" s="5" t="s">
        <v>83</v>
      </c>
      <c r="G7" s="5" t="s">
        <v>84</v>
      </c>
      <c r="H7" s="4" t="s">
        <v>29</v>
      </c>
      <c r="I7" s="4" t="s">
        <v>33</v>
      </c>
      <c r="J7" s="20">
        <f>(VLOOKUP(I7,Bewertungsmatrix!$A$3:$C$5,2))*(VLOOKUP(H7,Bewertungsmatrix!$A$8:$C$10,2))</f>
        <v>36</v>
      </c>
      <c r="K7" s="45" t="s">
        <v>85</v>
      </c>
      <c r="L7" s="5" t="s">
        <v>36</v>
      </c>
      <c r="M7" s="4" t="s">
        <v>37</v>
      </c>
      <c r="N7" s="4" t="s">
        <v>29</v>
      </c>
      <c r="O7" s="4" t="s">
        <v>44</v>
      </c>
      <c r="P7" s="20">
        <f>(VLOOKUP(O7,Bewertungsmatrix!$A$3:$C$5,2))*(VLOOKUP(N7,Bewertungsmatrix!$A$8:$C$10,2))</f>
        <v>18</v>
      </c>
      <c r="Q7" s="21" t="s">
        <v>79</v>
      </c>
    </row>
    <row r="8" spans="2:17" ht="60" x14ac:dyDescent="0.25">
      <c r="B8" s="27">
        <v>4</v>
      </c>
      <c r="C8" s="19" t="s">
        <v>39</v>
      </c>
      <c r="D8" s="5" t="s">
        <v>86</v>
      </c>
      <c r="E8" s="5" t="s">
        <v>59</v>
      </c>
      <c r="F8" s="5" t="s">
        <v>87</v>
      </c>
      <c r="G8" s="5" t="s">
        <v>88</v>
      </c>
      <c r="H8" s="4" t="s">
        <v>29</v>
      </c>
      <c r="I8" s="4" t="s">
        <v>30</v>
      </c>
      <c r="J8" s="20">
        <f>(VLOOKUP(I8,Bewertungsmatrix!$A$3:$C$5,2))*(VLOOKUP(H8,Bewertungsmatrix!$A$8:$C$10,2))</f>
        <v>60</v>
      </c>
      <c r="K8" s="45" t="s">
        <v>89</v>
      </c>
      <c r="L8" s="5" t="s">
        <v>32</v>
      </c>
      <c r="M8" s="4" t="s">
        <v>29</v>
      </c>
      <c r="N8" s="4" t="s">
        <v>38</v>
      </c>
      <c r="O8" s="4" t="s">
        <v>33</v>
      </c>
      <c r="P8" s="20">
        <f>(VLOOKUP(O8,Bewertungsmatrix!$A$3:$C$5,2))*(VLOOKUP(N8,Bewertungsmatrix!$A$8:$C$10,2))</f>
        <v>18</v>
      </c>
      <c r="Q8" s="21" t="s">
        <v>90</v>
      </c>
    </row>
    <row r="9" spans="2:17" ht="90" x14ac:dyDescent="0.25">
      <c r="B9" s="27">
        <v>5</v>
      </c>
      <c r="C9" s="19" t="s">
        <v>39</v>
      </c>
      <c r="D9" s="5" t="s">
        <v>86</v>
      </c>
      <c r="E9" s="5" t="s">
        <v>59</v>
      </c>
      <c r="F9" s="5" t="s">
        <v>87</v>
      </c>
      <c r="G9" s="5" t="s">
        <v>88</v>
      </c>
      <c r="H9" s="4" t="s">
        <v>29</v>
      </c>
      <c r="I9" s="4" t="s">
        <v>30</v>
      </c>
      <c r="J9" s="20">
        <f>(VLOOKUP(I9,Bewertungsmatrix!$A$3:$C$5,2))*(VLOOKUP(H9,Bewertungsmatrix!$A$8:$C$10,2))</f>
        <v>60</v>
      </c>
      <c r="K9" s="45" t="s">
        <v>91</v>
      </c>
      <c r="L9" s="5" t="s">
        <v>36</v>
      </c>
      <c r="M9" s="4" t="s">
        <v>37</v>
      </c>
      <c r="N9" s="4" t="s">
        <v>29</v>
      </c>
      <c r="O9" s="4" t="s">
        <v>33</v>
      </c>
      <c r="P9" s="20">
        <f>(VLOOKUP(O9,Bewertungsmatrix!$A$3:$C$5,2))*(VLOOKUP(N9,Bewertungsmatrix!$A$8:$C$10,2))</f>
        <v>36</v>
      </c>
      <c r="Q9" s="21" t="s">
        <v>90</v>
      </c>
    </row>
    <row r="10" spans="2:17" ht="75" x14ac:dyDescent="0.25">
      <c r="B10" s="27">
        <v>6</v>
      </c>
      <c r="C10" s="19" t="s">
        <v>39</v>
      </c>
      <c r="D10" s="5" t="s">
        <v>92</v>
      </c>
      <c r="E10" s="5" t="s">
        <v>59</v>
      </c>
      <c r="F10" s="5" t="s">
        <v>93</v>
      </c>
      <c r="G10" s="5" t="s">
        <v>94</v>
      </c>
      <c r="H10" s="4" t="s">
        <v>38</v>
      </c>
      <c r="I10" s="4" t="s">
        <v>33</v>
      </c>
      <c r="J10" s="20">
        <f>(VLOOKUP(I10,Bewertungsmatrix!$A$3:$C$5,2))*(VLOOKUP(H10,Bewertungsmatrix!$A$8:$C$10,2))</f>
        <v>18</v>
      </c>
      <c r="K10" s="45" t="s">
        <v>95</v>
      </c>
      <c r="L10" s="5" t="s">
        <v>36</v>
      </c>
      <c r="M10" s="4" t="s">
        <v>37</v>
      </c>
      <c r="N10" s="4" t="s">
        <v>38</v>
      </c>
      <c r="O10" s="4" t="s">
        <v>44</v>
      </c>
      <c r="P10" s="20">
        <f>(VLOOKUP(O10,Bewertungsmatrix!$A$3:$C$5,2))*(VLOOKUP(N10,Bewertungsmatrix!$A$8:$C$10,2))</f>
        <v>9</v>
      </c>
      <c r="Q10" s="21" t="s">
        <v>96</v>
      </c>
    </row>
    <row r="11" spans="2:17" ht="90" x14ac:dyDescent="0.25">
      <c r="B11" s="27">
        <v>7</v>
      </c>
      <c r="C11" s="19" t="s">
        <v>39</v>
      </c>
      <c r="D11" s="5" t="s">
        <v>97</v>
      </c>
      <c r="E11" s="5" t="s">
        <v>59</v>
      </c>
      <c r="F11" s="5" t="s">
        <v>98</v>
      </c>
      <c r="G11" s="5" t="s">
        <v>99</v>
      </c>
      <c r="H11" s="4" t="s">
        <v>29</v>
      </c>
      <c r="I11" s="4" t="s">
        <v>33</v>
      </c>
      <c r="J11" s="20">
        <f>(VLOOKUP(I11,Bewertungsmatrix!$A$3:$C$5,2))*(VLOOKUP(H11,Bewertungsmatrix!$A$8:$C$10,2))</f>
        <v>36</v>
      </c>
      <c r="K11" s="45" t="s">
        <v>100</v>
      </c>
      <c r="L11" s="5" t="s">
        <v>36</v>
      </c>
      <c r="M11" s="4" t="s">
        <v>37</v>
      </c>
      <c r="N11" s="4" t="s">
        <v>29</v>
      </c>
      <c r="O11" s="4" t="s">
        <v>44</v>
      </c>
      <c r="P11" s="20">
        <f>(VLOOKUP(O11,Bewertungsmatrix!$A$3:$C$5,2))*(VLOOKUP(N11,Bewertungsmatrix!$A$8:$C$10,2))</f>
        <v>18</v>
      </c>
      <c r="Q11" s="21" t="s">
        <v>101</v>
      </c>
    </row>
    <row r="12" spans="2:17" ht="75" x14ac:dyDescent="0.25">
      <c r="B12" s="27">
        <v>8</v>
      </c>
      <c r="C12" s="19" t="s">
        <v>39</v>
      </c>
      <c r="D12" s="5" t="s">
        <v>102</v>
      </c>
      <c r="E12" s="5" t="s">
        <v>59</v>
      </c>
      <c r="F12" s="5" t="s">
        <v>103</v>
      </c>
      <c r="G12" s="5" t="s">
        <v>104</v>
      </c>
      <c r="H12" s="4" t="s">
        <v>29</v>
      </c>
      <c r="I12" s="4" t="s">
        <v>33</v>
      </c>
      <c r="J12" s="20">
        <f>(VLOOKUP(I12,Bewertungsmatrix!$A$3:$C$5,2))*(VLOOKUP(H12,Bewertungsmatrix!$A$8:$C$10,2))</f>
        <v>36</v>
      </c>
      <c r="K12" s="45" t="s">
        <v>105</v>
      </c>
      <c r="L12" s="5" t="s">
        <v>36</v>
      </c>
      <c r="M12" s="4" t="s">
        <v>37</v>
      </c>
      <c r="N12" s="4" t="s">
        <v>29</v>
      </c>
      <c r="O12" s="4" t="s">
        <v>44</v>
      </c>
      <c r="P12" s="20">
        <f>(VLOOKUP(O12,Bewertungsmatrix!$A$3:$C$5,2))*(VLOOKUP(N12,Bewertungsmatrix!$A$8:$C$10,2))</f>
        <v>18</v>
      </c>
      <c r="Q12" s="21" t="s">
        <v>106</v>
      </c>
    </row>
    <row r="13" spans="2:17" ht="75" x14ac:dyDescent="0.25">
      <c r="B13" s="27">
        <v>9</v>
      </c>
      <c r="C13" s="19" t="s">
        <v>39</v>
      </c>
      <c r="D13" s="5" t="s">
        <v>107</v>
      </c>
      <c r="E13" s="5" t="s">
        <v>59</v>
      </c>
      <c r="F13" s="5" t="s">
        <v>108</v>
      </c>
      <c r="G13" s="5" t="s">
        <v>109</v>
      </c>
      <c r="H13" s="4" t="s">
        <v>29</v>
      </c>
      <c r="I13" s="4" t="s">
        <v>30</v>
      </c>
      <c r="J13" s="20">
        <f>(VLOOKUP(I13,Bewertungsmatrix!$A$3:$C$5,2))*(VLOOKUP(H13,Bewertungsmatrix!$A$8:$C$10,2))</f>
        <v>60</v>
      </c>
      <c r="K13" s="45" t="s">
        <v>110</v>
      </c>
      <c r="L13" s="5" t="s">
        <v>36</v>
      </c>
      <c r="M13" s="4" t="s">
        <v>37</v>
      </c>
      <c r="N13" s="4" t="s">
        <v>29</v>
      </c>
      <c r="O13" s="4" t="s">
        <v>33</v>
      </c>
      <c r="P13" s="20">
        <f>(VLOOKUP(O13,Bewertungsmatrix!$A$3:$C$5,2))*(VLOOKUP(N13,Bewertungsmatrix!$A$8:$C$10,2))</f>
        <v>36</v>
      </c>
      <c r="Q13" s="21" t="s">
        <v>111</v>
      </c>
    </row>
    <row r="14" spans="2:17" ht="75" x14ac:dyDescent="0.25">
      <c r="B14" s="27">
        <v>10</v>
      </c>
      <c r="C14" s="19" t="s">
        <v>39</v>
      </c>
      <c r="D14" s="5" t="s">
        <v>112</v>
      </c>
      <c r="E14" s="5" t="s">
        <v>113</v>
      </c>
      <c r="F14" s="5" t="s">
        <v>114</v>
      </c>
      <c r="G14" s="5" t="s">
        <v>115</v>
      </c>
      <c r="H14" s="4" t="s">
        <v>29</v>
      </c>
      <c r="I14" s="4" t="s">
        <v>33</v>
      </c>
      <c r="J14" s="20">
        <f>(VLOOKUP(I14,Bewertungsmatrix!$A$3:$C$5,2))*(VLOOKUP(H14,Bewertungsmatrix!$A$8:$C$10,2))</f>
        <v>36</v>
      </c>
      <c r="K14" s="45" t="s">
        <v>116</v>
      </c>
      <c r="L14" s="5" t="s">
        <v>36</v>
      </c>
      <c r="M14" s="4" t="s">
        <v>37</v>
      </c>
      <c r="N14" s="4" t="s">
        <v>29</v>
      </c>
      <c r="O14" s="4" t="s">
        <v>44</v>
      </c>
      <c r="P14" s="20">
        <f>(VLOOKUP(O14,Bewertungsmatrix!$A$3:$C$5,2))*(VLOOKUP(N14,Bewertungsmatrix!$A$8:$C$10,2))</f>
        <v>18</v>
      </c>
      <c r="Q14" s="21" t="s">
        <v>117</v>
      </c>
    </row>
    <row r="15" spans="2:17" ht="75" x14ac:dyDescent="0.25">
      <c r="B15" s="27">
        <v>11</v>
      </c>
      <c r="C15" s="19" t="s">
        <v>39</v>
      </c>
      <c r="D15" s="5" t="s">
        <v>118</v>
      </c>
      <c r="E15" s="5" t="s">
        <v>63</v>
      </c>
      <c r="F15" s="5" t="s">
        <v>119</v>
      </c>
      <c r="G15" s="5" t="s">
        <v>120</v>
      </c>
      <c r="H15" s="4" t="s">
        <v>38</v>
      </c>
      <c r="I15" s="4" t="s">
        <v>33</v>
      </c>
      <c r="J15" s="20">
        <f>(VLOOKUP(I15,Bewertungsmatrix!$A$3:$C$5,2))*(VLOOKUP(H15,Bewertungsmatrix!$A$8:$C$10,2))</f>
        <v>18</v>
      </c>
      <c r="K15" s="45" t="s">
        <v>121</v>
      </c>
      <c r="L15" s="5" t="s">
        <v>36</v>
      </c>
      <c r="M15" s="4" t="s">
        <v>37</v>
      </c>
      <c r="N15" s="4" t="s">
        <v>38</v>
      </c>
      <c r="O15" s="4" t="s">
        <v>44</v>
      </c>
      <c r="P15" s="20">
        <f>(VLOOKUP(O15,Bewertungsmatrix!$A$3:$C$5,2))*(VLOOKUP(N15,Bewertungsmatrix!$A$8:$C$10,2))</f>
        <v>9</v>
      </c>
      <c r="Q15" s="21" t="s">
        <v>101</v>
      </c>
    </row>
    <row r="16" spans="2:17" ht="60" x14ac:dyDescent="0.25">
      <c r="B16" s="27">
        <v>12</v>
      </c>
      <c r="C16" s="19" t="s">
        <v>24</v>
      </c>
      <c r="D16" s="5" t="s">
        <v>122</v>
      </c>
      <c r="E16" s="5" t="s">
        <v>63</v>
      </c>
      <c r="F16" s="5" t="s">
        <v>123</v>
      </c>
      <c r="G16" s="5" t="s">
        <v>124</v>
      </c>
      <c r="H16" s="4" t="s">
        <v>29</v>
      </c>
      <c r="I16" s="88" t="s">
        <v>125</v>
      </c>
      <c r="J16" s="20">
        <f>(VLOOKUP(I16,Bewertungsmatrix!$A$3:$C$5,2))*(VLOOKUP(H16,Bewertungsmatrix!$A$8:$C$10,2))</f>
        <v>60</v>
      </c>
      <c r="K16" s="45" t="s">
        <v>126</v>
      </c>
      <c r="L16" s="5" t="s">
        <v>36</v>
      </c>
      <c r="M16" s="4" t="s">
        <v>29</v>
      </c>
      <c r="N16" s="4" t="s">
        <v>38</v>
      </c>
      <c r="O16" s="4" t="s">
        <v>29</v>
      </c>
      <c r="P16" s="20">
        <f>(VLOOKUP(O16,Bewertungsmatrix!$A$3:$C$5,2))*(VLOOKUP(N16,Bewertungsmatrix!$A$8:$C$10,2))</f>
        <v>30</v>
      </c>
      <c r="Q16" s="21"/>
    </row>
    <row r="17" spans="2:17" x14ac:dyDescent="0.25">
      <c r="B17" s="27"/>
      <c r="C17" s="19"/>
      <c r="D17" s="5"/>
      <c r="E17" s="5"/>
      <c r="F17" s="5"/>
      <c r="G17" s="5"/>
      <c r="H17" s="4"/>
      <c r="I17" s="4"/>
      <c r="J17" s="20" t="e">
        <f>(VLOOKUP(I17,Bewertungsmatrix!$A$3:$C$5,2))*(VLOOKUP(H17,Bewertungsmatrix!$A$8:$C$10,2))</f>
        <v>#N/A</v>
      </c>
      <c r="K17" s="45"/>
      <c r="L17" s="5"/>
      <c r="M17" s="4"/>
      <c r="N17" s="4"/>
      <c r="O17" s="4"/>
      <c r="P17" s="20" t="e">
        <f>(VLOOKUP(O17,Bewertungsmatrix!$A$3:$C$5,2))*(VLOOKUP(N17,Bewertungsmatrix!$A$8:$C$10,2))</f>
        <v>#N/A</v>
      </c>
      <c r="Q17" s="21"/>
    </row>
    <row r="18" spans="2:17" x14ac:dyDescent="0.25">
      <c r="B18" s="27"/>
      <c r="C18" s="19"/>
      <c r="D18" s="5"/>
      <c r="E18" s="5"/>
      <c r="F18" s="5"/>
      <c r="G18" s="5"/>
      <c r="H18" s="4"/>
      <c r="I18" s="4"/>
      <c r="J18" s="20" t="e">
        <f>(VLOOKUP(I18,Bewertungsmatrix!$A$3:$C$5,2))*(VLOOKUP(H18,Bewertungsmatrix!$A$8:$C$10,2))</f>
        <v>#N/A</v>
      </c>
      <c r="K18" s="45"/>
      <c r="L18" s="5"/>
      <c r="M18" s="4"/>
      <c r="N18" s="4"/>
      <c r="O18" s="4"/>
      <c r="P18" s="20" t="e">
        <f>(VLOOKUP(O18,Bewertungsmatrix!$A$3:$C$5,2))*(VLOOKUP(N18,Bewertungsmatrix!$A$8:$C$10,2))</f>
        <v>#N/A</v>
      </c>
      <c r="Q18" s="21"/>
    </row>
    <row r="19" spans="2:17" x14ac:dyDescent="0.25">
      <c r="B19" s="27"/>
      <c r="C19" s="19"/>
      <c r="D19" s="5"/>
      <c r="E19" s="5"/>
      <c r="F19" s="5"/>
      <c r="G19" s="5"/>
      <c r="H19" s="4"/>
      <c r="I19" s="4"/>
      <c r="J19" s="20" t="e">
        <f>(VLOOKUP(I19,Bewertungsmatrix!$A$3:$C$5,2))*(VLOOKUP(H19,Bewertungsmatrix!$A$8:$C$10,2))</f>
        <v>#N/A</v>
      </c>
      <c r="K19" s="45"/>
      <c r="L19" s="5"/>
      <c r="M19" s="4"/>
      <c r="N19" s="4"/>
      <c r="O19" s="4"/>
      <c r="P19" s="20" t="e">
        <f>(VLOOKUP(O19,Bewertungsmatrix!$A$3:$C$5,2))*(VLOOKUP(N19,Bewertungsmatrix!$A$8:$C$10,2))</f>
        <v>#N/A</v>
      </c>
      <c r="Q19" s="21"/>
    </row>
    <row r="20" spans="2:17" x14ac:dyDescent="0.25">
      <c r="B20" s="27"/>
      <c r="C20" s="19"/>
      <c r="D20" s="5"/>
      <c r="E20" s="5"/>
      <c r="F20" s="5"/>
      <c r="G20" s="5"/>
      <c r="H20" s="4"/>
      <c r="I20" s="4"/>
      <c r="J20" s="20" t="e">
        <f>(VLOOKUP(I20,Bewertungsmatrix!$A$3:$C$5,2))*(VLOOKUP(H20,Bewertungsmatrix!$A$8:$C$10,2))</f>
        <v>#N/A</v>
      </c>
      <c r="K20" s="45"/>
      <c r="L20" s="5"/>
      <c r="M20" s="4"/>
      <c r="N20" s="4"/>
      <c r="O20" s="4"/>
      <c r="P20" s="20" t="e">
        <f>(VLOOKUP(O20,Bewertungsmatrix!$A$3:$C$5,2))*(VLOOKUP(N20,Bewertungsmatrix!$A$8:$C$10,2))</f>
        <v>#N/A</v>
      </c>
      <c r="Q20" s="21"/>
    </row>
    <row r="21" spans="2:17" x14ac:dyDescent="0.25">
      <c r="B21" s="27"/>
      <c r="C21" s="19"/>
      <c r="D21" s="5"/>
      <c r="E21" s="5"/>
      <c r="F21" s="5"/>
      <c r="G21" s="5"/>
      <c r="H21" s="4"/>
      <c r="I21" s="4"/>
      <c r="J21" s="20" t="e">
        <f>(VLOOKUP(I21,Bewertungsmatrix!$A$3:$C$5,2))*(VLOOKUP(H21,Bewertungsmatrix!$A$8:$C$10,2))</f>
        <v>#N/A</v>
      </c>
      <c r="K21" s="45"/>
      <c r="L21" s="5"/>
      <c r="M21" s="4"/>
      <c r="N21" s="4"/>
      <c r="O21" s="4"/>
      <c r="P21" s="20" t="e">
        <f>(VLOOKUP(O21,Bewertungsmatrix!$A$3:$C$5,2))*(VLOOKUP(N21,Bewertungsmatrix!$A$8:$C$10,2))</f>
        <v>#N/A</v>
      </c>
      <c r="Q21" s="21"/>
    </row>
    <row r="22" spans="2:17" x14ac:dyDescent="0.25">
      <c r="B22" s="27"/>
      <c r="C22" s="19"/>
      <c r="D22" s="5"/>
      <c r="E22" s="5"/>
      <c r="F22" s="5"/>
      <c r="G22" s="5"/>
      <c r="H22" s="4"/>
      <c r="I22" s="4"/>
      <c r="J22" s="20" t="e">
        <f>(VLOOKUP(I22,Bewertungsmatrix!$A$3:$C$5,2))*(VLOOKUP(H22,Bewertungsmatrix!$A$8:$C$10,2))</f>
        <v>#N/A</v>
      </c>
      <c r="K22" s="45"/>
      <c r="L22" s="5"/>
      <c r="M22" s="4"/>
      <c r="N22" s="4"/>
      <c r="O22" s="4"/>
      <c r="P22" s="20" t="e">
        <f>(VLOOKUP(O22,Bewertungsmatrix!$A$3:$C$5,2))*(VLOOKUP(N22,Bewertungsmatrix!$A$8:$C$10,2))</f>
        <v>#N/A</v>
      </c>
      <c r="Q22" s="21"/>
    </row>
    <row r="23" spans="2:17" x14ac:dyDescent="0.25">
      <c r="B23" s="27"/>
      <c r="C23" s="19"/>
      <c r="D23" s="5"/>
      <c r="E23" s="5"/>
      <c r="F23" s="5"/>
      <c r="G23" s="5"/>
      <c r="H23" s="4"/>
      <c r="I23" s="4"/>
      <c r="J23" s="20" t="e">
        <f>(VLOOKUP(I23,Bewertungsmatrix!$A$3:$C$5,2))*(VLOOKUP(H23,Bewertungsmatrix!$A$8:$C$10,2))</f>
        <v>#N/A</v>
      </c>
      <c r="K23" s="45"/>
      <c r="L23" s="5"/>
      <c r="M23" s="4"/>
      <c r="N23" s="4"/>
      <c r="O23" s="4"/>
      <c r="P23" s="20" t="e">
        <f>(VLOOKUP(O23,Bewertungsmatrix!$A$3:$C$5,2))*(VLOOKUP(N23,Bewertungsmatrix!$A$8:$C$10,2))</f>
        <v>#N/A</v>
      </c>
      <c r="Q23" s="21"/>
    </row>
    <row r="24" spans="2:17" x14ac:dyDescent="0.25">
      <c r="B24" s="47"/>
      <c r="C24" s="22"/>
      <c r="D24" s="23"/>
      <c r="E24" s="23"/>
      <c r="F24" s="23"/>
      <c r="G24" s="23"/>
      <c r="H24" s="24"/>
      <c r="I24" s="24"/>
      <c r="J24" s="25" t="e">
        <f>(VLOOKUP(I24,Bewertungsmatrix!$A$3:$C$5,2))*(VLOOKUP(H24,Bewertungsmatrix!$A$8:$C$10,2))</f>
        <v>#N/A</v>
      </c>
      <c r="K24" s="46"/>
      <c r="L24" s="23"/>
      <c r="M24" s="24"/>
      <c r="N24" s="24"/>
      <c r="O24" s="24"/>
      <c r="P24" s="25" t="e">
        <f>(VLOOKUP(O24,Bewertungsmatrix!$A$3:$C$5,2))*(VLOOKUP(N24,Bewertungsmatrix!$A$8:$C$10,2))</f>
        <v>#N/A</v>
      </c>
      <c r="Q24" s="26"/>
    </row>
  </sheetData>
  <mergeCells count="7">
    <mergeCell ref="Q2:Q3"/>
    <mergeCell ref="H2:J2"/>
    <mergeCell ref="K2:M2"/>
    <mergeCell ref="N2:P2"/>
    <mergeCell ref="B2:B3"/>
    <mergeCell ref="D2:G2"/>
    <mergeCell ref="C2:C3"/>
  </mergeCells>
  <conditionalFormatting sqref="C5:C24">
    <cfRule type="containsText" dxfId="76" priority="342" operator="containsText" text="Verhindert">
      <formula>NOT(ISERROR(SEARCH("Verhindert",C5)))</formula>
    </cfRule>
    <cfRule type="containsText" dxfId="75" priority="341" operator="containsText" text="Eingetreten">
      <formula>NOT(ISERROR(SEARCH("Eingetreten",C5)))</formula>
    </cfRule>
  </conditionalFormatting>
  <conditionalFormatting sqref="H5:I24">
    <cfRule type="containsText" dxfId="74" priority="16" operator="containsText" text="Hoch">
      <formula>NOT(ISERROR(SEARCH("Hoch",H5)))</formula>
    </cfRule>
    <cfRule type="containsText" dxfId="73" priority="18" operator="containsText" text="Gering">
      <formula>NOT(ISERROR(SEARCH("Gering",H5)))</formula>
    </cfRule>
    <cfRule type="containsText" dxfId="72" priority="19" operator="containsText" text="Kritisch">
      <formula>NOT(ISERROR(SEARCH("Kritisch",H5)))</formula>
    </cfRule>
    <cfRule type="containsText" dxfId="71" priority="20" operator="containsText" text="Hoch">
      <formula>NOT(ISERROR(SEARCH("Hoch",H5)))</formula>
    </cfRule>
    <cfRule type="cellIs" dxfId="70" priority="14" operator="equal">
      <formula>"Gewöhnlich"</formula>
    </cfRule>
    <cfRule type="cellIs" dxfId="69" priority="15" operator="equal">
      <formula>"Niedrig"</formula>
    </cfRule>
    <cfRule type="containsText" dxfId="68" priority="17" operator="containsText" text="Mittel">
      <formula>NOT(ISERROR(SEARCH("Mittel",H5)))</formula>
    </cfRule>
  </conditionalFormatting>
  <conditionalFormatting sqref="H5:J24 M5:O24">
    <cfRule type="containsText" dxfId="67" priority="218" operator="containsText" text="Kritisch">
      <formula>NOT(ISERROR(SEARCH("Kritisch",H5)))</formula>
    </cfRule>
    <cfRule type="containsText" dxfId="66" priority="217" operator="containsText" text="Gering">
      <formula>NOT(ISERROR(SEARCH("Gering",H5)))</formula>
    </cfRule>
    <cfRule type="containsText" dxfId="65" priority="219" operator="containsText" text="Hoch">
      <formula>NOT(ISERROR(SEARCH("Hoch",H5)))</formula>
    </cfRule>
    <cfRule type="containsText" dxfId="64" priority="216" operator="containsText" text="Mittel">
      <formula>NOT(ISERROR(SEARCH("Mittel",H5)))</formula>
    </cfRule>
    <cfRule type="containsText" dxfId="63" priority="215" operator="containsText" text="Hoch">
      <formula>NOT(ISERROR(SEARCH("Hoch",H5)))</formula>
    </cfRule>
  </conditionalFormatting>
  <conditionalFormatting sqref="M5:O24 H5:J24">
    <cfRule type="cellIs" dxfId="62" priority="213" operator="equal">
      <formula>"Gewöhnlich"</formula>
    </cfRule>
    <cfRule type="cellIs" dxfId="61" priority="214" operator="equal">
      <formula>"Niedrig"</formula>
    </cfRule>
  </conditionalFormatting>
  <conditionalFormatting sqref="N5:N9">
    <cfRule type="containsText" dxfId="60" priority="93" operator="containsText" text="Mittel">
      <formula>NOT(ISERROR(SEARCH("Mittel",N5)))</formula>
    </cfRule>
    <cfRule type="containsText" dxfId="59" priority="96" operator="containsText" text="Hoch">
      <formula>NOT(ISERROR(SEARCH("Hoch",N5)))</formula>
    </cfRule>
    <cfRule type="containsText" dxfId="58" priority="95" operator="containsText" text="Kritisch">
      <formula>NOT(ISERROR(SEARCH("Kritisch",N5)))</formula>
    </cfRule>
    <cfRule type="containsText" dxfId="57" priority="94" operator="containsText" text="Gering">
      <formula>NOT(ISERROR(SEARCH("Gering",N5)))</formula>
    </cfRule>
    <cfRule type="containsText" dxfId="56" priority="92" operator="containsText" text="Hoch">
      <formula>NOT(ISERROR(SEARCH("Hoch",N5)))</formula>
    </cfRule>
  </conditionalFormatting>
  <conditionalFormatting sqref="N12:N23">
    <cfRule type="containsText" dxfId="55" priority="3" operator="containsText" text="Hoch">
      <formula>NOT(ISERROR(SEARCH("Hoch",N12)))</formula>
    </cfRule>
    <cfRule type="containsText" dxfId="54" priority="4" operator="containsText" text="Mittel">
      <formula>NOT(ISERROR(SEARCH("Mittel",N12)))</formula>
    </cfRule>
    <cfRule type="containsText" dxfId="53" priority="5" operator="containsText" text="Gering">
      <formula>NOT(ISERROR(SEARCH("Gering",N12)))</formula>
    </cfRule>
    <cfRule type="containsText" dxfId="52" priority="7" operator="containsText" text="Hoch">
      <formula>NOT(ISERROR(SEARCH("Hoch",N12)))</formula>
    </cfRule>
    <cfRule type="containsText" dxfId="51" priority="6" operator="containsText" text="Kritisch">
      <formula>NOT(ISERROR(SEARCH("Kritisch",N12)))</formula>
    </cfRule>
  </conditionalFormatting>
  <conditionalFormatting sqref="N5:O11">
    <cfRule type="containsText" dxfId="50" priority="115" operator="containsText" text="Gering">
      <formula>NOT(ISERROR(SEARCH("Gering",N5)))</formula>
    </cfRule>
    <cfRule type="containsText" dxfId="49" priority="116" operator="containsText" text="Kritisch">
      <formula>NOT(ISERROR(SEARCH("Kritisch",N5)))</formula>
    </cfRule>
    <cfRule type="containsText" dxfId="48" priority="117" operator="containsText" text="Hoch">
      <formula>NOT(ISERROR(SEARCH("Hoch",N5)))</formula>
    </cfRule>
    <cfRule type="containsText" dxfId="47" priority="113" operator="containsText" text="Hoch">
      <formula>NOT(ISERROR(SEARCH("Hoch",N5)))</formula>
    </cfRule>
    <cfRule type="containsText" dxfId="46" priority="114" operator="containsText" text="Mittel">
      <formula>NOT(ISERROR(SEARCH("Mittel",N5)))</formula>
    </cfRule>
  </conditionalFormatting>
  <conditionalFormatting sqref="N12:O24">
    <cfRule type="containsText" dxfId="45" priority="12" operator="containsText" text="Hoch">
      <formula>NOT(ISERROR(SEARCH("Hoch",N12)))</formula>
    </cfRule>
    <cfRule type="containsText" dxfId="44" priority="11" operator="containsText" text="Kritisch">
      <formula>NOT(ISERROR(SEARCH("Kritisch",N12)))</formula>
    </cfRule>
    <cfRule type="containsText" dxfId="43" priority="10" operator="containsText" text="Gering">
      <formula>NOT(ISERROR(SEARCH("Gering",N12)))</formula>
    </cfRule>
    <cfRule type="containsText" dxfId="42" priority="9" operator="containsText" text="Mittel">
      <formula>NOT(ISERROR(SEARCH("Mittel",N12)))</formula>
    </cfRule>
    <cfRule type="containsText" dxfId="41" priority="8" operator="containsText" text="Hoch">
      <formula>NOT(ISERROR(SEARCH("Hoch",N12)))</formula>
    </cfRule>
  </conditionalFormatting>
  <conditionalFormatting sqref="N5:P24">
    <cfRule type="cellIs" dxfId="40" priority="2" operator="equal">
      <formula>"Niedrig"</formula>
    </cfRule>
    <cfRule type="cellIs" dxfId="39" priority="1" operator="equal">
      <formula>"Gewöhnlich"</formula>
    </cfRule>
  </conditionalFormatting>
  <conditionalFormatting sqref="O5:O9">
    <cfRule type="containsText" dxfId="38" priority="325" operator="containsText" text="Kritisch">
      <formula>NOT(ISERROR(SEARCH("Kritisch",O5)))</formula>
    </cfRule>
    <cfRule type="containsText" dxfId="37" priority="326" operator="containsText" text="Hoch">
      <formula>NOT(ISERROR(SEARCH("Hoch",O5)))</formula>
    </cfRule>
  </conditionalFormatting>
  <conditionalFormatting sqref="O12:O23">
    <cfRule type="containsText" dxfId="36" priority="23" operator="containsText" text="Kritisch">
      <formula>NOT(ISERROR(SEARCH("Kritisch",O12)))</formula>
    </cfRule>
    <cfRule type="containsText" dxfId="35" priority="24" operator="containsText" text="Hoch">
      <formula>NOT(ISERROR(SEARCH("Hoch",O12)))</formula>
    </cfRule>
  </conditionalFormatting>
  <conditionalFormatting sqref="P5:P24">
    <cfRule type="containsText" dxfId="34" priority="37" operator="containsText" text="Hoch">
      <formula>NOT(ISERROR(SEARCH("Hoch",P5)))</formula>
    </cfRule>
    <cfRule type="containsText" dxfId="33" priority="33" operator="containsText" text="Hoch">
      <formula>NOT(ISERROR(SEARCH("Hoch",P5)))</formula>
    </cfRule>
    <cfRule type="containsText" dxfId="32" priority="34" operator="containsText" text="Mittel">
      <formula>NOT(ISERROR(SEARCH("Mittel",P5)))</formula>
    </cfRule>
    <cfRule type="containsText" dxfId="31" priority="35" operator="containsText" text="Gering">
      <formula>NOT(ISERROR(SEARCH("Gering",P5)))</formula>
    </cfRule>
    <cfRule type="containsText" dxfId="30" priority="36" operator="containsText" text="Kritisch">
      <formula>NOT(ISERROR(SEARCH("Kritisch",P5)))</formula>
    </cfRule>
  </conditionalFormatting>
  <conditionalFormatting sqref="Q5:Q9">
    <cfRule type="containsText" dxfId="29" priority="344" operator="containsText" text="Hoch">
      <formula>NOT(ISERROR(SEARCH("Hoch",Q5)))</formula>
    </cfRule>
    <cfRule type="containsText" dxfId="28" priority="343" operator="containsText" text="Kritisch">
      <formula>NOT(ISERROR(SEARCH("Kritisch",Q5)))</formula>
    </cfRule>
  </conditionalFormatting>
  <conditionalFormatting sqref="Q5:Q11 Q24">
    <cfRule type="containsText" dxfId="27" priority="183" operator="containsText" text="Gering">
      <formula>NOT(ISERROR(SEARCH("Gering",Q5)))</formula>
    </cfRule>
    <cfRule type="cellIs" dxfId="26" priority="179" operator="equal">
      <formula>"Gewöhnlich"</formula>
    </cfRule>
    <cfRule type="cellIs" dxfId="25" priority="180" operator="equal">
      <formula>"Niedrig"</formula>
    </cfRule>
    <cfRule type="containsText" dxfId="24" priority="181" operator="containsText" text="Hoch">
      <formula>NOT(ISERROR(SEARCH("Hoch",Q5)))</formula>
    </cfRule>
    <cfRule type="containsText" dxfId="23" priority="182" operator="containsText" text="Mittel">
      <formula>NOT(ISERROR(SEARCH("Mittel",Q5)))</formula>
    </cfRule>
  </conditionalFormatting>
  <conditionalFormatting sqref="Q10:Q24">
    <cfRule type="containsText" dxfId="22" priority="30" operator="containsText" text="Hoch">
      <formula>NOT(ISERROR(SEARCH("Hoch",Q10)))</formula>
    </cfRule>
    <cfRule type="containsText" dxfId="21" priority="29" operator="containsText" text="Kritisch">
      <formula>NOT(ISERROR(SEARCH("Kritisch",Q10)))</formula>
    </cfRule>
  </conditionalFormatting>
  <conditionalFormatting sqref="Q12:Q23">
    <cfRule type="containsText" dxfId="20" priority="26" operator="containsText" text="Hoch">
      <formula>NOT(ISERROR(SEARCH("Hoch",Q12)))</formula>
    </cfRule>
    <cfRule type="cellIs" dxfId="19" priority="22" operator="equal">
      <formula>"Niedrig"</formula>
    </cfRule>
    <cfRule type="cellIs" dxfId="18" priority="21" operator="equal">
      <formula>"Gewöhnlich"</formula>
    </cfRule>
    <cfRule type="containsText" dxfId="17" priority="28" operator="containsText" text="Gering">
      <formula>NOT(ISERROR(SEARCH("Gering",Q12)))</formula>
    </cfRule>
    <cfRule type="containsText" dxfId="16" priority="27" operator="containsText" text="Mittel">
      <formula>NOT(ISERROR(SEARCH("Mittel",Q12)))</formula>
    </cfRule>
  </conditionalFormatting>
  <dataValidations count="1">
    <dataValidation type="list" allowBlank="1" showInputMessage="1" showErrorMessage="1" sqref="C5:C24" xr:uid="{00000000-0002-0000-0100-000000000000}">
      <formula1>"Monitoring, Verhindert, Eingetreten"</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F7"/>
  <sheetViews>
    <sheetView workbookViewId="0"/>
  </sheetViews>
  <sheetFormatPr baseColWidth="10" defaultRowHeight="15" x14ac:dyDescent="0.25"/>
  <sheetData>
    <row r="2" spans="1:6" ht="45" x14ac:dyDescent="0.25">
      <c r="A2" s="6" t="s">
        <v>15</v>
      </c>
      <c r="B2" s="8" t="s">
        <v>18</v>
      </c>
      <c r="C2" s="7" t="s">
        <v>19</v>
      </c>
      <c r="D2" s="7" t="s">
        <v>23</v>
      </c>
      <c r="E2" s="7" t="s">
        <v>16</v>
      </c>
      <c r="F2" s="7" t="s">
        <v>22</v>
      </c>
    </row>
    <row r="3" spans="1:6" x14ac:dyDescent="0.25">
      <c r="A3" s="1" t="s">
        <v>57</v>
      </c>
      <c r="B3" s="3" t="s">
        <v>33</v>
      </c>
      <c r="C3" s="3" t="s">
        <v>38</v>
      </c>
      <c r="D3" s="3" t="s">
        <v>42</v>
      </c>
      <c r="E3" t="s">
        <v>26</v>
      </c>
      <c r="F3" t="s">
        <v>32</v>
      </c>
    </row>
    <row r="4" spans="1:6" x14ac:dyDescent="0.25">
      <c r="A4" s="1" t="s">
        <v>58</v>
      </c>
      <c r="B4" s="3" t="s">
        <v>33</v>
      </c>
      <c r="C4" s="3" t="s">
        <v>29</v>
      </c>
      <c r="D4" s="3" t="s">
        <v>33</v>
      </c>
      <c r="E4" t="s">
        <v>59</v>
      </c>
      <c r="F4" t="s">
        <v>36</v>
      </c>
    </row>
    <row r="5" spans="1:6" x14ac:dyDescent="0.25">
      <c r="A5" s="1" t="s">
        <v>60</v>
      </c>
      <c r="B5" s="3" t="s">
        <v>30</v>
      </c>
      <c r="C5" s="3" t="s">
        <v>42</v>
      </c>
      <c r="D5" s="3" t="s">
        <v>29</v>
      </c>
      <c r="E5" t="s">
        <v>61</v>
      </c>
    </row>
    <row r="6" spans="1:6" x14ac:dyDescent="0.25">
      <c r="A6" s="1" t="s">
        <v>62</v>
      </c>
      <c r="B6" s="3" t="s">
        <v>44</v>
      </c>
      <c r="C6" s="3" t="s">
        <v>29</v>
      </c>
      <c r="D6" s="3" t="s">
        <v>37</v>
      </c>
      <c r="E6" t="s">
        <v>63</v>
      </c>
    </row>
    <row r="7" spans="1:6" x14ac:dyDescent="0.25">
      <c r="A7" s="1" t="s">
        <v>64</v>
      </c>
      <c r="B7" s="3" t="s">
        <v>44</v>
      </c>
      <c r="C7" s="3" t="s">
        <v>38</v>
      </c>
    </row>
  </sheetData>
  <conditionalFormatting sqref="B3:C7">
    <cfRule type="containsText" dxfId="15" priority="25" operator="containsText" text="Kritisch">
      <formula>NOT(ISERROR(SEARCH("Kritisch",B3)))</formula>
    </cfRule>
    <cfRule type="containsText" dxfId="14" priority="26" operator="containsText" text="Hoch">
      <formula>NOT(ISERROR(SEARCH("Hoch",B3)))</formula>
    </cfRule>
  </conditionalFormatting>
  <conditionalFormatting sqref="C3:C7">
    <cfRule type="containsText" dxfId="13" priority="22" operator="containsText" text="Hoch">
      <formula>NOT(ISERROR(SEARCH("Hoch",C3)))</formula>
    </cfRule>
    <cfRule type="containsText" dxfId="12" priority="23" operator="containsText" text="Mittel">
      <formula>NOT(ISERROR(SEARCH("Mittel",C3)))</formula>
    </cfRule>
    <cfRule type="containsText" dxfId="11" priority="24" operator="containsText" text="Gering">
      <formula>NOT(ISERROR(SEARCH("Gering",C3)))</formula>
    </cfRule>
  </conditionalFormatting>
  <conditionalFormatting sqref="D3">
    <cfRule type="containsText" dxfId="10" priority="16" operator="containsText" text="Hoch">
      <formula>NOT(ISERROR(SEARCH("Hoch",D3)))</formula>
    </cfRule>
    <cfRule type="containsText" dxfId="9" priority="17" operator="containsText" text="Mittel">
      <formula>NOT(ISERROR(SEARCH("Mittel",D3)))</formula>
    </cfRule>
    <cfRule type="containsText" dxfId="8" priority="18" operator="containsText" text="Gering">
      <formula>NOT(ISERROR(SEARCH("Gering",D3)))</formula>
    </cfRule>
    <cfRule type="containsText" dxfId="7" priority="19" operator="containsText" text="Kritisch">
      <formula>NOT(ISERROR(SEARCH("Kritisch",D3)))</formula>
    </cfRule>
    <cfRule type="containsText" dxfId="6" priority="20" operator="containsText" text="Hoch">
      <formula>NOT(ISERROR(SEARCH("Hoch",D3)))</formula>
    </cfRule>
  </conditionalFormatting>
  <conditionalFormatting sqref="D4:D6">
    <cfRule type="containsText" dxfId="5" priority="4" operator="containsText" text="Kritisch">
      <formula>NOT(ISERROR(SEARCH("Kritisch",D4)))</formula>
    </cfRule>
    <cfRule type="containsText" dxfId="4" priority="5" operator="containsText" text="Hoch">
      <formula>NOT(ISERROR(SEARCH("Hoch",D4)))</formula>
    </cfRule>
  </conditionalFormatting>
  <conditionalFormatting sqref="D5:D6">
    <cfRule type="containsText" dxfId="3" priority="1" operator="containsText" text="Hoch">
      <formula>NOT(ISERROR(SEARCH("Hoch",D5)))</formula>
    </cfRule>
    <cfRule type="containsText" dxfId="2" priority="2" operator="containsText" text="Mittel">
      <formula>NOT(ISERROR(SEARCH("Mittel",D5)))</formula>
    </cfRule>
    <cfRule type="containsText" dxfId="1" priority="3" operator="containsText" text="Gering">
      <formula>NOT(ISERROR(SEARCH("Gering",D5)))</formula>
    </cfRule>
  </conditionalFormatting>
  <conditionalFormatting sqref="D6">
    <cfRule type="containsText" dxfId="0" priority="6" operator="containsText" text="Niedrig">
      <formula>NOT(ISERROR(SEARCH("Niedrig",D6)))</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C10"/>
  <sheetViews>
    <sheetView workbookViewId="0"/>
  </sheetViews>
  <sheetFormatPr baseColWidth="10" defaultRowHeight="15" x14ac:dyDescent="0.25"/>
  <cols>
    <col min="1" max="1" width="19.5703125" customWidth="1"/>
    <col min="2" max="2" width="5.7109375" customWidth="1"/>
    <col min="3" max="3" width="85" customWidth="1"/>
  </cols>
  <sheetData>
    <row r="2" spans="1:3" x14ac:dyDescent="0.25">
      <c r="A2" s="2" t="s">
        <v>65</v>
      </c>
      <c r="B2" s="2" t="s">
        <v>66</v>
      </c>
      <c r="C2" s="2" t="s">
        <v>67</v>
      </c>
    </row>
    <row r="3" spans="1:3" ht="60" x14ac:dyDescent="0.25">
      <c r="A3" s="9" t="s">
        <v>44</v>
      </c>
      <c r="B3" s="4">
        <v>3</v>
      </c>
      <c r="C3" s="5" t="s">
        <v>68</v>
      </c>
    </row>
    <row r="4" spans="1:3" ht="45" x14ac:dyDescent="0.25">
      <c r="A4" s="10" t="s">
        <v>33</v>
      </c>
      <c r="B4" s="4">
        <v>6</v>
      </c>
      <c r="C4" s="5" t="s">
        <v>69</v>
      </c>
    </row>
    <row r="5" spans="1:3" ht="45" x14ac:dyDescent="0.25">
      <c r="A5" s="11" t="s">
        <v>30</v>
      </c>
      <c r="B5" s="4">
        <v>10</v>
      </c>
      <c r="C5" s="5" t="s">
        <v>70</v>
      </c>
    </row>
    <row r="7" spans="1:3" ht="30" x14ac:dyDescent="0.25">
      <c r="A7" s="2" t="s">
        <v>71</v>
      </c>
      <c r="B7" s="2" t="s">
        <v>66</v>
      </c>
      <c r="C7" s="2" t="s">
        <v>67</v>
      </c>
    </row>
    <row r="8" spans="1:3" ht="66" customHeight="1" x14ac:dyDescent="0.25">
      <c r="A8" s="9" t="s">
        <v>38</v>
      </c>
      <c r="B8" s="4">
        <v>3</v>
      </c>
      <c r="C8" s="5" t="s">
        <v>72</v>
      </c>
    </row>
    <row r="9" spans="1:3" ht="66" customHeight="1" x14ac:dyDescent="0.25">
      <c r="A9" s="10" t="s">
        <v>29</v>
      </c>
      <c r="B9" s="4">
        <v>6</v>
      </c>
      <c r="C9" s="5" t="s">
        <v>73</v>
      </c>
    </row>
    <row r="10" spans="1:3" ht="66" customHeight="1" x14ac:dyDescent="0.25">
      <c r="A10" s="11" t="s">
        <v>42</v>
      </c>
      <c r="B10" s="4">
        <v>10</v>
      </c>
      <c r="C10" s="5"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Beschreibung</vt:lpstr>
      <vt:lpstr>Risikoregister</vt:lpstr>
      <vt:lpstr>Tabelle1</vt:lpstr>
      <vt:lpstr>Bewertungsmatrix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Jakob Wußler</cp:lastModifiedBy>
  <dcterms:created xsi:type="dcterms:W3CDTF">2026-06-05T16:16:27Z</dcterms:created>
  <dcterms:modified xsi:type="dcterms:W3CDTF">2026-06-05T16:16:28Z</dcterms:modified>
</cp:coreProperties>
</file>